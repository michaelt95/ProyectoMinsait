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75" windowHeight="8085" activeTab="1"/>
  </bookViews>
  <sheets>
    <sheet name="Ámbitos" sheetId="4" r:id="rId1"/>
    <sheet name="Lista variables" sheetId="1" r:id="rId2"/>
    <sheet name="Aux" sheetId="3" r:id="rId3"/>
  </sheets>
  <definedNames>
    <definedName name="Ámbitos">Tabla14[Ámbito]</definedName>
  </definedNames>
  <calcPr calcId="144525"/>
</workbook>
</file>

<file path=xl/sharedStrings.xml><?xml version="1.0" encoding="utf-8"?>
<sst xmlns="http://schemas.openxmlformats.org/spreadsheetml/2006/main" count="981">
  <si>
    <t>Generador de Formularios</t>
  </si>
  <si>
    <t>Ámbito</t>
  </si>
  <si>
    <t>Código</t>
  </si>
  <si>
    <t>Requerido</t>
  </si>
  <si>
    <t>Arquitectura de Desarrollo</t>
  </si>
  <si>
    <t>ADE</t>
  </si>
  <si>
    <t>Arquitectura de Ejecución</t>
  </si>
  <si>
    <t>AEJ</t>
  </si>
  <si>
    <t>Arquitectura de Operación</t>
  </si>
  <si>
    <t>AOP</t>
  </si>
  <si>
    <t>Business Partner</t>
  </si>
  <si>
    <t>BPA</t>
  </si>
  <si>
    <t>Calidad y Seguridad</t>
  </si>
  <si>
    <t>CYS</t>
  </si>
  <si>
    <t>Catálogo de Servicios</t>
  </si>
  <si>
    <t>CAS</t>
  </si>
  <si>
    <t>CAU</t>
  </si>
  <si>
    <t>Contract Manager</t>
  </si>
  <si>
    <t>CMA</t>
  </si>
  <si>
    <t>DevOps</t>
  </si>
  <si>
    <t>DEV</t>
  </si>
  <si>
    <t>Infraestructura</t>
  </si>
  <si>
    <t>INF</t>
  </si>
  <si>
    <t>Integración</t>
  </si>
  <si>
    <t>INT</t>
  </si>
  <si>
    <t>Modelo de Gobierno</t>
  </si>
  <si>
    <t>MGO</t>
  </si>
  <si>
    <t>Movilidad</t>
  </si>
  <si>
    <t>MOV</t>
  </si>
  <si>
    <t>Operations Manager</t>
  </si>
  <si>
    <t>OPM</t>
  </si>
  <si>
    <t>PMO</t>
  </si>
  <si>
    <t>Portales</t>
  </si>
  <si>
    <t>POR</t>
  </si>
  <si>
    <t>Proveedores AM y OP</t>
  </si>
  <si>
    <t>PAO</t>
  </si>
  <si>
    <t>Release Manager</t>
  </si>
  <si>
    <t>RMA</t>
  </si>
  <si>
    <t>Seguridad</t>
  </si>
  <si>
    <t>SEG</t>
  </si>
  <si>
    <t>Sistemas Corporativos</t>
  </si>
  <si>
    <t>SSC</t>
  </si>
  <si>
    <t>Sistemas Informacionales</t>
  </si>
  <si>
    <t>SSI</t>
  </si>
  <si>
    <t>Sistemas Operacionales</t>
  </si>
  <si>
    <t>SSO</t>
  </si>
  <si>
    <t>Arquitectura</t>
  </si>
  <si>
    <t>ARQ</t>
  </si>
  <si>
    <t>Reliability - Diseño soluciones</t>
  </si>
  <si>
    <t>REDI</t>
  </si>
  <si>
    <t>Reliability - Construcción soluciones</t>
  </si>
  <si>
    <t>REC</t>
  </si>
  <si>
    <t>Reliability - Despliegue soluciones</t>
  </si>
  <si>
    <t>REDE</t>
  </si>
  <si>
    <t>Reliability - Operación soluciones</t>
  </si>
  <si>
    <t>REO</t>
  </si>
  <si>
    <t>Reliability - Infraestructura</t>
  </si>
  <si>
    <t>REI</t>
  </si>
  <si>
    <t>Testing</t>
  </si>
  <si>
    <t>TES</t>
  </si>
  <si>
    <t>Reliability - Alta disponibilidad</t>
  </si>
  <si>
    <t>RHA</t>
  </si>
  <si>
    <t>PMBOK - Project Portfolio</t>
  </si>
  <si>
    <t>PMB</t>
  </si>
  <si>
    <t>ITIL - Information Technology</t>
  </si>
  <si>
    <t>ITIL</t>
  </si>
  <si>
    <t>Numeración</t>
  </si>
  <si>
    <t>ID</t>
  </si>
  <si>
    <t>Nombre Variable</t>
  </si>
  <si>
    <t>Descripción de variable</t>
  </si>
  <si>
    <t xml:space="preserve">  Valor mínimo</t>
  </si>
  <si>
    <t xml:space="preserve">  Valor máximo</t>
  </si>
  <si>
    <t>Pregunta</t>
  </si>
  <si>
    <t>Solución mejora indicador</t>
  </si>
  <si>
    <t>Requerida</t>
  </si>
  <si>
    <t>001</t>
  </si>
  <si>
    <t>Arquitectura Empresarial</t>
  </si>
  <si>
    <t>Capacidad de Gobierno de Arquitectura Empresarial en base a los mecanismos habilitados para tal fin para las capas de negocio, sistemas de información e infraestructuras.</t>
  </si>
  <si>
    <t>1. No existe una visión de Arquitectura Empresarial.</t>
  </si>
  <si>
    <t>5. Se establece una arquitectura común compuesta por los procesos de negocio, la información, los datos, las aplicaciones y las capas de la arquitectura tecnológica de manera eficaz y eficiente para la realización de las estrategias de la organización y de TI mediante la creación de modelos clave y prácticas que describan las líneas de partida y las arquitecturas objetivo. Se definen los requisitos para la taxonomía, las normas, las directrices, los procedimientos, las plantillas y las herramientas y proporcionan un vínculo para estos componentes. Se mejora la adecuación, aumenta la agilidad, mejora la calidad de la información y se generan ahorros de costes potenciales mediante iniciativas tales como la reutilización de bloques de componentes para los procesos de construcción.</t>
  </si>
  <si>
    <t>002</t>
  </si>
  <si>
    <t>Innovación</t>
  </si>
  <si>
    <t>Capacidad de innovación asociada a los mecanismos de descubrimiento de nuevas tecnologías y su aplicación al negocio de manera pro-activa.</t>
  </si>
  <si>
    <t>1. La respuesta a las necesidades del negocio es siempre reactiva.</t>
  </si>
  <si>
    <t>5. Se mantiene un conocimiento de la tecnología de la información y las tendencias relacionadas con el servicio, se identifican las oportunidades de innovación y se planifica la manera de beneficiarse de estas innovaciones en relación con las necesidades del negocio. Se analizan cuáles son las oportunidades para la innovación empresarial o qué mejora puede crearse con las nuevas tecnologías, servicios o innovaciones empresariales facilitadas por TI, así como a través de las tecnologías ya existentes y por la innovación en  procesos empresariales y de TI. La innovación tiene influencia en la planificación estratégica y en las decisiones de la arquitectura de la organización</t>
  </si>
  <si>
    <t>003</t>
  </si>
  <si>
    <t>Gobierno de la Arquitectura</t>
  </si>
  <si>
    <t>Capacidad de Gobierno técnico de los componentes de arquitectura de software durante su ciclo de vida.</t>
  </si>
  <si>
    <t>1. No existen mecanismos de gobierno de la arquitectura.</t>
  </si>
  <si>
    <t>5. Se gobierna de manera integral la arquitectura utilizada por todas las soluciones de software corporativas. Este gobierno es eficaz, eficiente y alineado con la estrategia de TI de la organización. Se mantiene un control de los proyectos de TI, garantizando el cumplimiento de las políticas de uso de los componentes tecnológicos. Desde el área de Arquitectura se definen y modelan los diferentes módulos que componen la Arquitectura de la organización y sus interrelaciones, así como los principios rectores de su diseño y evolución en el tiempo, permitiendo una entrega estándar, sensible y eficiente de los objetivos operativos y estratégicos. El equipo de arquitectura está dimensionado en base a la demanda y está capacitado para trabajar con las nuevas piezas arquitectónicas  que van siendo incorporadas.</t>
  </si>
  <si>
    <t>004</t>
  </si>
  <si>
    <t>Gobierno de la Infraestructura</t>
  </si>
  <si>
    <t>Capacidad de Gobierno técnico de los componentes de infraestructura durante su ciclo de vida.</t>
  </si>
  <si>
    <t>1. No existen mecanismos de gobierno de la infraestructura.</t>
  </si>
  <si>
    <t>5. Se gobierna de manera integral la infraestructura utilizada por todas las soluciones de software corporativas. Este gobierno es eficaz, eficiente y alineado con la estrategia de TI de la organización. Se mantiene un control integral de todos los componentes de infraestructura que habilitan a las aplicaciones del negocio. Desde el área de Infraestructura se realizan las adquisiciones software y hardware y se gestiona la evolución y mantenimiento de los componentes adquiridos y desarrollados internamente. Los equipos de operación están dimensionados en base a la demanda y están capacitados para operar las nuevas tecnologías  que van siendo incorporadas.</t>
  </si>
  <si>
    <t>005</t>
  </si>
  <si>
    <t>Gobierno y Gestión del Dato</t>
  </si>
  <si>
    <t>La trazabilidad del dato o linaje, es la capacidad de conocer todo el ciclo de vida del dato desde su extracción y las distintas transformaciones del mismo hasta su publicación. La necesidad de conocer los distintos estados del dato en todo este proceso se hace evidente en las labores de validación/corrección y sobre todo en los ejercicios de auditoría. El objetivo final es dar fiabilidad al resultado publicado.</t>
  </si>
  <si>
    <t>1. No hay sistemas ni procesos automáticos que monitoricen las distintas transformaciones sufridas por el dato hasta su publicación final.</t>
  </si>
  <si>
    <t>5. Existen sistemas o procesos que monitorizan y exponen todo el ciclo de vida del dato desde su ingesta en los sistemas de información, pasando por sus distintas transformaciones hasta llegar a su publicación final</t>
  </si>
  <si>
    <t>006</t>
  </si>
  <si>
    <t>Gobierno de BI</t>
  </si>
  <si>
    <t>Capacidad de indentificar todas las fuentes de información y realizar análisis de esos datos para proporcionar información para la toma de decisiones.</t>
  </si>
  <si>
    <t>1. No existe sistema de BI.</t>
  </si>
  <si>
    <t xml:space="preserve">5. Existen herramientas para la generación de cuadros de mando y reportes fiables y de valor. Proporcionar capacidad analítica para apoyar la toma de decisiones. </t>
  </si>
  <si>
    <t>007</t>
  </si>
  <si>
    <t>Gestión de la Identificación y Construcción de Soluciones</t>
  </si>
  <si>
    <t>Disponibilidad de mecanismos para identificar y construir las soluciones que den respuesta a las peticiones demandadas por el negocio.</t>
  </si>
  <si>
    <t>1. No existe una metodología de desarrollo que cubra todas las fases del ciclo de vida del software.</t>
  </si>
  <si>
    <t>5. Se establecen y mantienen soluciones identificadas en línea con los requerimientos de la organización que abarcan el diseño, desarrollo, compras/contratación y asociación con proveedores/fabricantes. Se gestiona la configuración, preparación de pruebas, realización de pruebas, gestión de requerimientos y mantenimiento de procesos de negocio, aplicaciones, datos/información, infraestructura y servicios.</t>
  </si>
  <si>
    <t>008</t>
  </si>
  <si>
    <t>Entornos de desarrollo</t>
  </si>
  <si>
    <t>Existencia de diferentes entornos de desarrollo para el equipo de desarrollo.</t>
  </si>
  <si>
    <t>1. No existen entornos de desarrollo.</t>
  </si>
  <si>
    <t>5. Existen distintos entornos de desarrollo corporativos (normalmente Desarrollo, Integración, preproducción y producción), claramente identificados, con unas responsabilidades distintas en cada uno de ellos.</t>
  </si>
  <si>
    <t>009</t>
  </si>
  <si>
    <t>Arquitectura de desarrollo</t>
  </si>
  <si>
    <t>Existencia de una arquitectura o componentes de arquitectura comunes para el desarrollo de aplicaciones  que se encuentre gestionada y mantenida por un equipo especifico.</t>
  </si>
  <si>
    <t>1. No existe una arquitectura de desarrollo</t>
  </si>
  <si>
    <t>5. Existe una arquitectura común para todos los desarrollos realizados, con una documentación accesible a todos los equipos, que dispone de mecanismos de comunicación de nuevas versiones a todos los involucrados y un roadmap claramente definido y conocido por los equipos.</t>
  </si>
  <si>
    <t>010</t>
  </si>
  <si>
    <t>Normativa de desarrollo</t>
  </si>
  <si>
    <t>Existencia de una normativa de desarrollo de los sistemas.</t>
  </si>
  <si>
    <t>1. No existe una normativa de desarrollo.</t>
  </si>
  <si>
    <t>5. Existe una normativa de desarrollo accesible por los desarrolladores y con mecanismos de evaluación de cumplimiento en los mismos.</t>
  </si>
  <si>
    <t>011</t>
  </si>
  <si>
    <t>Guías de estilo corporativas</t>
  </si>
  <si>
    <t>Existencia de guías de estilo corporativas que definan una imagen de marca para los aplicativos en cualquier canal de comunicación y dispositivo.</t>
  </si>
  <si>
    <t>1. No existen guías de estilos corporativas.</t>
  </si>
  <si>
    <t>5. Existen guías de estilos corporativas para los distintos canales de acceso a la información.</t>
  </si>
  <si>
    <t>Relación con Negocio</t>
  </si>
  <si>
    <t>Existen mecanismos de relación y comunicación bidireccional entre negocio y TI.</t>
  </si>
  <si>
    <t>1. No existe ningún mecanismo formalizado de comunicación de las necesidades y expectativas del negocio.</t>
  </si>
  <si>
    <t>5. Se gestionan las relaciones entre el negocio y TI de modo formal y transparente, enfocándolas hacia el objetivo común de obtener resultados empresariales exitosos. La relación se basa en la confianza mutua, usando términos entendibles y lenguaje común, apoyando a negocio y aportándose soluciones imaginativas de manera proactiva.</t>
  </si>
  <si>
    <t>X</t>
  </si>
  <si>
    <t>Gestión de la Demanda Estratégica</t>
  </si>
  <si>
    <t>Existencia de un proceso unificado de Gestión de la Demanda.</t>
  </si>
  <si>
    <t>1. No existe una Gestión de la Demanda de Negocio unificada.</t>
  </si>
  <si>
    <t>5. Se identifican soluciones y se analizan requerimientos antes de la adquisición o creación, para asegurar que estén en línea con los requerimientos estratégicos de la organización y que cubren los procesos de negocios, aplicaciones, información/datos, infraestructura y servicios. Se realiza una coordinación con las partes interesadas afectadas para la revisión de las opciones viables, incluyendo costes y beneficios relacionados, análisis de riesgos y aprobación de los requerimientos y soluciones propuestas.</t>
  </si>
  <si>
    <t>Gestión de Requisitos</t>
  </si>
  <si>
    <t>Existencia de un proceso estructurado de recogida y análisis de requisitos.</t>
  </si>
  <si>
    <t>1. No existe una Gestión de Requisitos estructurada y priorizada.</t>
  </si>
  <si>
    <t>5. Se cuenta con una gestión estructurada de requisitos y existen plantillas específicas de toma y análisis de requisitos.</t>
  </si>
  <si>
    <t>Cálculo del Impacto</t>
  </si>
  <si>
    <t>Estudio previo al lanzamiento de un proyecto para conocer el impacto que este nuevo proyecto puede tener en otro proyectos, en otros áreas o en negocio.</t>
  </si>
  <si>
    <t>1. No se realiza estudio previo de impacto.</t>
  </si>
  <si>
    <t>5. Se realiza en estudio previo para conocer como puede afectar el lanzamiento del nuevo proyecto, que impacto puede ocasionar en otros proyecto o áreas de la organización.</t>
  </si>
  <si>
    <t>Escalado del seguimiento del proyecto</t>
  </si>
  <si>
    <t>Se recopila toda la información relativa al proyecto facilitada por el Release Manager, el Contract Manager y la PMO, y se elaboran informes para entregar a negocio, con comentarios y análisis ad hoc que expliquen la información más relevante para negocio.</t>
  </si>
  <si>
    <t>1. No se recopila la información relevante para negocio. Ni se realiza seguimiento ni se proporciona información detallada a negocio.</t>
  </si>
  <si>
    <t xml:space="preserve">5. Se recopila la información del estado el proyecto y se elaboran los informes de seguimiento para entregar a negocio </t>
  </si>
  <si>
    <t>Coordinación con Release Managers</t>
  </si>
  <si>
    <t>Se establecen pautas de coordinación con el Release Manager para el traspaso bidireccional de información.</t>
  </si>
  <si>
    <t>1. No se establecen pautas de coordinación entre Business Partner y Release Manager.</t>
  </si>
  <si>
    <t>5. Se establecen calendarios de reuniones para compartir la información y se elaboran los documentos que se estimen oportunos para la comunicación y coordinación bidireccional.</t>
  </si>
  <si>
    <t>Cálculo del ROI</t>
  </si>
  <si>
    <t>Se colabora en el cálculo del ROI del proyecto con información recopilada de los diferentes actores del proyecto.</t>
  </si>
  <si>
    <t>1. No se realiza el cálculo del ROI para los proyectos.</t>
  </si>
  <si>
    <t>5. Se realiza un cálculo del ROI esperado, y se realiza el cálculo real de los beneficios obtenidos una vez finalizado el proyecto.</t>
  </si>
  <si>
    <t>Marco de Gobierno TI</t>
  </si>
  <si>
    <t>Capacidad de Gobierno de TI proporcionada por las diferentes estructuras, procesos, mecanismos y órganos de gobierno habilitados para tal fin.</t>
  </si>
  <si>
    <t>1. No existen las estructuras, los procesos y los órganos de gobierno que permiten realizar una gestión de TI.</t>
  </si>
  <si>
    <t>5. Se realiza un análisis de los requisitos para el gobierno de la Dirección TI y se ponen en marcha y mantienen las estructuras, los procesos, los mecanismos y los órganos de gobierno que permiten habilitar este gobierno. Existe claridad en las responsabilidades y la autoridad para alcanzar la misión, las metas y los objetivos.</t>
  </si>
  <si>
    <t>Marco Metodológico</t>
  </si>
  <si>
    <t xml:space="preserve">Existencia de un conjunto de procesos, procedimientos y estándares que regulen la actividad del departamento de TI. </t>
  </si>
  <si>
    <t>1. No se dispone de un marco metodológico.</t>
  </si>
  <si>
    <t>5. Existe un marco metodológico implantado en la organización que es conocido y utilizado por todos los equipos, empleando para ello las herramientas disponibles.</t>
  </si>
  <si>
    <t>Gestión del Conocimiento</t>
  </si>
  <si>
    <t>Disponibilidad del conocimiento relevante y criterios de actualización. Identificación, recopilación, organización, mantenimiento, uso y retirada de conocimiento.</t>
  </si>
  <si>
    <t>1. No se realizan actividades relacionadas con la Gestión del Conocimiento en las actividades de gestión de TI.</t>
  </si>
  <si>
    <t>5. Se mantiene la disponibilidad del conocimiento relevante, actualizado, validado y fiable para dar soporte a todas las actividades de los procesos y facilitar la toma de decisiones. Se planifica la identificación, recopilación, organización, mantenimiento, uso y retirada de conocimiento.</t>
  </si>
  <si>
    <t>Documentación de los Servicios de Información</t>
  </si>
  <si>
    <t xml:space="preserve">Se mide la existencia de documentación que cumpla con una normativa corporativa y centralizada ya establecida. Se valora el grado de  documentación de los servicios de información en los siguientes ámbitos:
 - A nivel Usuario,  que se disponga de manuales de uso para los distintos servicios y publicaciones, así como una relación de las métricas presentadas, sobre que ejes de análisis se pueden estudiar y que filtros aplican.
 - A nivel de Operación, que se disponga de guías de ejecución y operación, con reglas de monitorización, detección de incidencias, planes de contingencia,…
 - A nivel de desarrollo, que se disponga de la documentación de las distintas librerías de desarrollo disponibles, nomenclaturas, normativas de desarrollo, el uso de entornos, las promociones de software y demás normativa.
</t>
  </si>
  <si>
    <t>1. No se dispone de documentación en alguno de los tres ámbitos descritos y la información se traspasa en sesiones /conversaciones de transferencia de conocimiento.</t>
  </si>
  <si>
    <t>5. Se dispone de un repositorio centralizado, actualizado y accesible de la documentación detallada para cada uno de los ámbitos descritos y con una política de seguridad diferenciada para cada ámbito y rol.</t>
  </si>
  <si>
    <t>Sistemas de almacenamiento documental</t>
  </si>
  <si>
    <t>Valoración de los mecanismos de almacenamiento existentes, acorde a los requerimientos de gestión documental de la Organización.</t>
  </si>
  <si>
    <t>1. La Organización no dispone de sistemas de almacenamiento dedicados, ni acordes a los tipos documentales y uso necesarios.</t>
  </si>
  <si>
    <t>5. Existencia de mecanismos de almacenamiento dedicados y acordes a los tipos documentales y uso necesarios en la Organización.</t>
  </si>
  <si>
    <t>Gestión de Recursos Humanos</t>
  </si>
  <si>
    <t>Idoneidad de los mecanismos de gestión de la estructura organizativa, los mecanismos de gobierno y comunicación de responsabilidades, así como de las necesidades de formación.</t>
  </si>
  <si>
    <t>1. No existen mecanismos.</t>
  </si>
  <si>
    <t>5. Se proporciona un enfoque estructurado para garantizar una óptima estructuración, ubicación, capacidades de decisión y habilidades de los recursos humanos. Esto incluye la comunicación de las funciones y responsabilidades definidas, la formación y planes de desarrollo personal y las expectativas de desempeño, con el apoyo de gente competente y motivada.</t>
  </si>
  <si>
    <t>Estrategia de QA</t>
  </si>
  <si>
    <t>Existencia de una estrategia global de QA que contemple distintos aspectos como QA documental, análisis de código, metodología de pruebas, recursos dedicados y gobierno de la misma.</t>
  </si>
  <si>
    <t>1. No existe una estrategia global de QA</t>
  </si>
  <si>
    <t>5. La estrategia de QA se encuentra implantada de forma cross en todos los desarrollos contando con una metodología claramente definida, recursos dedicados e involucrados en todo el ciclo de vida del software.</t>
  </si>
  <si>
    <t>Gestión de Calidad</t>
  </si>
  <si>
    <t>Disponibilidad de mecanismos de control de calidad globales a toda la actividad de TI.</t>
  </si>
  <si>
    <t>1. No existen controles de calidad.</t>
  </si>
  <si>
    <t>5. Se definen y comunican los requisitos de calidad en todos los procesos, procedimientos y resultados relacionados de la organización, incluyendo controles, vigilancia constante y el uso de prácticas probadas y estándares de mejora continua y esfuerzos de eficiencia.</t>
  </si>
  <si>
    <t>Se dispone de entorno, metodología y servicio de soporte a usuarios que de forma conjunta soporten las tareas de la fase de UAT en el ciclo de vida del software. El servicio de soporte se encargaría de supervisar los procesos de testing en la fase UAT, generar los planes de pruebas e iterar con los usuarios las pruebas necesarias para conseguir la aprobación o la no conformidad de las mismas.</t>
  </si>
  <si>
    <t>1.No existe entorno, normativa de testing ni servicio de soporte a usuario para la fase de UAT.</t>
  </si>
  <si>
    <t>5. Existe entorno, metodología y servicio de soporte a usuario que habiliten tanto pruebas automáticas como  testeo y validación por parte de los usuarios, sobre las implantaciones de software en la fase de UAT.</t>
  </si>
  <si>
    <t>SGSI</t>
  </si>
  <si>
    <t>Existencia de un SGSI (Sistemas de Gestión de Seguridad de la Información).</t>
  </si>
  <si>
    <t>1. No existe el Sistema definido</t>
  </si>
  <si>
    <t xml:space="preserve">5. Existe un SGSI y los controles de seguridad de la información definidos son periódicamente revisados y actualizados. </t>
  </si>
  <si>
    <t>Gestión de Seguridad</t>
  </si>
  <si>
    <t>Capacidad de los mecanismos de gestión de seguridad para controlar los aspectos relacionados con la seguridad de la información alojada en los sistemas.</t>
  </si>
  <si>
    <t>1. No existen mecanismos de seguridad formalizados</t>
  </si>
  <si>
    <t>5. Se define, opera y supervisa un sistema para la gestión de la seguridad de la información.</t>
  </si>
  <si>
    <t>012</t>
  </si>
  <si>
    <t>Gestión de Riesgos</t>
  </si>
  <si>
    <t>Capacidad de los mecanismos de gestión de riesgos para controlar y mitigar el riesgo operacional en la TI.</t>
  </si>
  <si>
    <t>1. No se realiza una gestión formalizada de riesgos.</t>
  </si>
  <si>
    <t xml:space="preserve">5. Se identifican, evalúan y reducen los riesgos relacionados con TI de forma continua, dentro de niveles de tolerancia establecidos por la dirección </t>
  </si>
  <si>
    <t>013</t>
  </si>
  <si>
    <t>Plan de contingencia</t>
  </si>
  <si>
    <t>Un plan de contingencia ha de estar establecido y en él han de estar identificados los diferentes actores que intervienen ante posibles incidente que supongan la perdida de servicio del centro principal, así como las acciones necesarias para levantar el servicio en el centro de respaldo.</t>
  </si>
  <si>
    <t>1. No se dispone de plan de contingencia.</t>
  </si>
  <si>
    <t>5. Se dispone de plan de contingencia y es probado periódicamente.</t>
  </si>
  <si>
    <t>014</t>
  </si>
  <si>
    <t>RTO</t>
  </si>
  <si>
    <t>No se ha definido un RTO (Tiempo Objetivo de Recuperación) en el que el centro de respaldo ha de estar dando servicio ante un incidente que provoque la perdida de servicio del centro principal. Este parámetro ha de estar marcado según las necesidades de negocio.</t>
  </si>
  <si>
    <t>1. No se dispone de RTO definido.</t>
  </si>
  <si>
    <t>5. El RTO está claramente definido y es alcanzable con la arquitectura implementada.</t>
  </si>
  <si>
    <t>015</t>
  </si>
  <si>
    <t>HA sistemas</t>
  </si>
  <si>
    <t>Se dispone de sistemas para garantizar la HA (alta disponibilidad) de los sistemas críticos de STL</t>
  </si>
  <si>
    <t>1. No existen sistemas de HA</t>
  </si>
  <si>
    <t>5. Alta Disponibilidad de sistemas distribuida entre CPDs, soportando cada uno de ellos el 100% de la carga y disponiendo de un tercer CPD como contingencia.</t>
  </si>
  <si>
    <t>Clasificación de servicios</t>
  </si>
  <si>
    <t>Existencia de una clasificación de todos los servicios proporcionados por el departamento TI.</t>
  </si>
  <si>
    <t>1. No existe una clasificación.</t>
  </si>
  <si>
    <t>5. Existe una clasificación de todos los servicios prestados, tanto operativos como estratégicos, la cual es conocida por los usuarios y el personal del departamento TI.</t>
  </si>
  <si>
    <t>Descripción de Servicios</t>
  </si>
  <si>
    <t>Existencia de una descripción de los servicios prestados.</t>
  </si>
  <si>
    <t>1. No se dispone de una descripción.</t>
  </si>
  <si>
    <t>5. Existe una descripción documentada de todos los servicios, donde se identifican sus principales características y los servicios críticos, la cual es mantenida y se encuentra publicada.</t>
  </si>
  <si>
    <t>Canales de entrada de la demanda</t>
  </si>
  <si>
    <t>Se detallan y controlan todas las vías de entrada de petición de servicios.</t>
  </si>
  <si>
    <t>1. No están definidas ni controladas las vías de entrada para la petición de servicios.</t>
  </si>
  <si>
    <t>5. Se detalla, por cada servicio, las diferentes vías de entrada por las que se puede realizar la petición de servicios. Además, se controla su uso y cumplimiento, y estos canales son conocidos por toda la organización.</t>
  </si>
  <si>
    <t>Definición de peticionario del servicio</t>
  </si>
  <si>
    <t>Se detalla qué roles o departamentos pueden solicitar cada servicio o tipo de servicio.</t>
  </si>
  <si>
    <t>1. No se definen los roles o departamentos que pueden solicitar los servicios.</t>
  </si>
  <si>
    <t>5. Se define detalladamente por cada servicio los roles o departamentos que pueden solicitar dicho servicio.</t>
  </si>
  <si>
    <t>Responsable del servicio</t>
  </si>
  <si>
    <t>Se define qué rol o departamento es el responsable de realizar el servicio.</t>
  </si>
  <si>
    <t>1. No se definen los roles o departamentos responsables de la prestación del servicio.</t>
  </si>
  <si>
    <t>5. Se definen detalladamente los departamentos o roles responsables de la prestación de cada uno de los servicios.</t>
  </si>
  <si>
    <t>Tiempo máximo de resolución</t>
  </si>
  <si>
    <t>Se establece un tiempo máximo de resolución por cada servicio o tipo de servicio.</t>
  </si>
  <si>
    <t>1. No se especifican los tiempos máximos de resolución de los servicios.</t>
  </si>
  <si>
    <t>5. Se encuentran establecidos los tiempos máximos de resolución para cada uno de los servicios.</t>
  </si>
  <si>
    <t>Horario del servicio</t>
  </si>
  <si>
    <t>Se establecen los horarios y días de la semana en los que se presta el servicio.</t>
  </si>
  <si>
    <t>1. No se dispone de un horario concreto para la prestación del servicio.</t>
  </si>
  <si>
    <t>5. Se encuentran establecidos y comunicados adecuadamente los horarios y días de la semana en los que se presta el servicio.</t>
  </si>
  <si>
    <t>Entradas</t>
  </si>
  <si>
    <t>Se define si es necesario presentar algún documento o información para que el servicio pueda ser prestado.</t>
  </si>
  <si>
    <t>1. No están definidas las entradas de cada servicio.</t>
  </si>
  <si>
    <t>5. Se encuentran definidas las entradas de los servicios, incluyéndose las plantillas asociadas a cada tipo.</t>
  </si>
  <si>
    <t>Prioridad del servicio</t>
  </si>
  <si>
    <t>Se le asigna una prioridad a los servicios, identificando aquellos que son críticos para la organización.</t>
  </si>
  <si>
    <t>1. No hay asignada una prioridad a los servicios ni se identifican aquellos que son críticos para la organización.</t>
  </si>
  <si>
    <t>5. Se encuentra asignada una prioridad a cada servicio y se encuentran identificados aquellos servicios que son críticos para la organización.</t>
  </si>
  <si>
    <t>Definición de servicio completado</t>
  </si>
  <si>
    <t>Existe una definición en la que se especifica cuándo o en qué condiciones se da por proporcionado o completado el servicio.</t>
  </si>
  <si>
    <t>1. No existe una definición que especifique cuando y de que manera se completa el servicio.</t>
  </si>
  <si>
    <t>5. Existe una definición de cuándo se da por finalizado y completado el servicio.</t>
  </si>
  <si>
    <t>Relación de servicios</t>
  </si>
  <si>
    <t>Se dispone de un modelo de relación de servicios y subservicios del departamento TI y sus proveedores.</t>
  </si>
  <si>
    <t>1. No existe una relación entre los servicios del catálogo ni se detallan agrupaciones.</t>
  </si>
  <si>
    <t>5. Existe una relación documentada entre los servicios prestados, siendo posible identificar impactos y dependencias entre los mismos.</t>
  </si>
  <si>
    <t>Autorización de prestación del servicio</t>
  </si>
  <si>
    <t>Se detalla si el servicio debe contar con  autorización previa a su prestación, quién debe autorizarlo y cómo se debe producir dicha autorización. Queda constancia de esa autorización y se comunica tanto al prestatario como al peticionario.</t>
  </si>
  <si>
    <t>1. No existe un protocolo de autorización de servicios. No se solicita autorización para la prestación de los servicios.</t>
  </si>
  <si>
    <t>5. Existe un protocolo perfectamente redactado donde se especifica las condiciones por las cuales un servicio puede requerir autorización  previa a su prestación, queda registrada dicha autorización o denegación y se comunica adecuadamente.</t>
  </si>
  <si>
    <t>Valoración del coste del servicio</t>
  </si>
  <si>
    <t>Se relacionan los servicios que deben llevar asociada una valoración de costes previa a la prestación del servicio, y si esos costes requieren de autorización por sobrepasar una determinada cantidad.</t>
  </si>
  <si>
    <t>1. No existe un protocolo de valoración del coste del servicio.</t>
  </si>
  <si>
    <t>5. Existe un protocolo establecido de que servicios deben llevar una valoración del coste que supone la prestación, como debe hacerse esta valoración, y si requiere de autorización cuando sobrepase una determinada cantidad.</t>
  </si>
  <si>
    <t>Punto único de contacto</t>
  </si>
  <si>
    <t>Punto único para todo el contacto y relación de los usuarios con el Departamento TI en el ámbito de la demanda operativa.</t>
  </si>
  <si>
    <t>1. La entrada de la demanda operativa no se encuentra centralizada.</t>
  </si>
  <si>
    <t>5. Se dispone de un Punto único de contacto mediante el cual los usuarios puedan solicitar servicios, reportar incidencias y conocer el estado en el que se encuentran sus demandas operativas.</t>
  </si>
  <si>
    <t>Registro de la demanda operativa</t>
  </si>
  <si>
    <t>Se registra toda la demanda operativa recibida en el Departamento TI.</t>
  </si>
  <si>
    <t>1. No se registra la demanda operativa.</t>
  </si>
  <si>
    <t>5. Todas la demanda se registra adecuadamente.</t>
  </si>
  <si>
    <t>Categorización de la demanda</t>
  </si>
  <si>
    <t>Existe una tipificación y categorización de la demanda.</t>
  </si>
  <si>
    <t>1. No se categoriza la demanda.</t>
  </si>
  <si>
    <t>5. Se establecen los diferentes tipos y categorías de la demanda, y se registra cada demanda con su tipo y categoría asociados. Se dispone de una categorización de cierre.</t>
  </si>
  <si>
    <t>Priorización de la demanda</t>
  </si>
  <si>
    <t>Se realiza una priorización de la demanda en base a unos criterios de priorización establecidos por categoría.</t>
  </si>
  <si>
    <t>1. No se prioriza la demanda.</t>
  </si>
  <si>
    <t>5. Se prioriza la demanda por parte de los usuarios y se revisa y valida por parte del CAU.</t>
  </si>
  <si>
    <t>Seguimiento y comunicación de la demanda</t>
  </si>
  <si>
    <t>El peticionario tiene la posibilidad de hacer seguimiento de sus peticiones.</t>
  </si>
  <si>
    <t>1. No existe la posibilidad de hacer seguimiento de la propia demanda</t>
  </si>
  <si>
    <t>5. Existe la posibilidad de hacer seguimiento de la demanda y de ver el ciclo de vida de la demanda, los estados y periodos por lo que ha pasado.</t>
  </si>
  <si>
    <t>Resolución de demandas operativas en nivel 1</t>
  </si>
  <si>
    <t>Están establecidos los criterios de resolución en nivel 1 de la demanda y se cuenta con la capacidad y disponibilidad para realizarlo.</t>
  </si>
  <si>
    <t>1. No se realiza una resolución adecuada en nivel 1 o se escala directamente a nivel 2 por falta de capacidad o de disponibilidad.</t>
  </si>
  <si>
    <t>5. Se resuelven las incidencias de nivel 1 tal y como está reflejado en los criterios de resolución de incidencias</t>
  </si>
  <si>
    <t>Escalado de demanda</t>
  </si>
  <si>
    <t>Están establecidos los parámetros y circunstancias en los que una incidencia se debe escalar a nivel 2 para su resolución.</t>
  </si>
  <si>
    <t>1. No están establecidos los criterios de escalado, se escala según la apreciación o capacidad del técnico.</t>
  </si>
  <si>
    <t>5. Se escalan la demanda en base a los criterios establecidos.</t>
  </si>
  <si>
    <t>Verificación y cierre de demandas</t>
  </si>
  <si>
    <t>Se realiza una verificación de que la demanda ha sido resuelta por parte del peticionario, quien tiene la obligación de cerrar la demanda una vez verificada o, por el contrario,  comunicar que no ha sido resuelta.</t>
  </si>
  <si>
    <t>1. No existe la posibilidad por parte del peticionario de verificar su demanda. No se realiza dicha verificación</t>
  </si>
  <si>
    <t>5. Toda la demanda es verificada por los peticionarios, quedando constancia de ello en el ciclo de vida de la demanda, realizando el cierre.</t>
  </si>
  <si>
    <t>Evaluación de la calidad del servicio prestado</t>
  </si>
  <si>
    <t>El peticionario tiene la posibilidad de evaluar la calidad del servicio prestado por el prestatario.</t>
  </si>
  <si>
    <t>1. No existe la posibilidad de evaluar al prestatario del servicio o al servicio prestado.</t>
  </si>
  <si>
    <t>5. Existe un sistema para evaluar al prestatario del servicio o al servicio prestado.</t>
  </si>
  <si>
    <t>Tiempo de resolución de la demanda.</t>
  </si>
  <si>
    <t>Se registra el tiempo transcurrido entre la petición de la demanda y su resolución, con fines de análisis de tiempos de respuesta.</t>
  </si>
  <si>
    <t xml:space="preserve">1. No se registra el tiempo de resolución de la demanda. </t>
  </si>
  <si>
    <t>5. Se registra adecuadamente el tiempo de resolución de la demanda</t>
  </si>
  <si>
    <t>Mediciones y mejora continua</t>
  </si>
  <si>
    <t>Se realizan mediciones y revisiones periódicas de los procesos para impulsar iniciativas de mejora continua.</t>
  </si>
  <si>
    <t>1. No se realizan iniciativas de mejora continua.</t>
  </si>
  <si>
    <t>5. Se realizan mediciones y revisiones periódicas de los procesos relativos a la demanda, se evalúan y se mejoran los procesos.</t>
  </si>
  <si>
    <t>Búsqueda de proveedores</t>
  </si>
  <si>
    <t>Identificación de proveedores y solicitud de presupuestos</t>
  </si>
  <si>
    <t>1. No se lleva a cabo una selección de proveedores de manera procedimentada. Ni se utilizan plantillas, ni hay establecidos parámetros de comparación ni se siguen procesos definidos para llevar a cabo la selección.</t>
  </si>
  <si>
    <t xml:space="preserve">5. Se buscan, identifican, analizan y comparan proveedores de manera procedimentada. Para ello, se utiliza un criterio de comparativa de soluciones previamente definido y se utilizan plantillas para la preparación del pliego de condiciones. Además, existen plantillas de Oferta Técnica y Oferta Económica que garantizan la calidad del entregable. </t>
  </si>
  <si>
    <t xml:space="preserve">Negociación del contrato </t>
  </si>
  <si>
    <t>Definición de cláusulas del contrato entre STL y un proveedor TI</t>
  </si>
  <si>
    <t>1. No se definen ANSs.</t>
  </si>
  <si>
    <t>5. Se definen ANSs que garanticen la cobertura del servicio de manera adecuada, que establezcan los modelos de seguimiento y control del cumplimiento de los objetivos establecidos por contrato, y especifique medidas correctoras y/o penalizaciones por imcumplimiento.</t>
  </si>
  <si>
    <t>Traslado de requisitos</t>
  </si>
  <si>
    <t>Capacidad de los mecanismos de gestión de proveedores de trasladar los requisitos del negocio a los proveedores de servicios externalizados.</t>
  </si>
  <si>
    <t>1. Inexistencia de mecanismos de traslado de requisitos dentro de la gestión de proveedores.</t>
  </si>
  <si>
    <t>5. La gestión de proveedores incluye mecanismos establecidos que garanticen que los requisitos de negocio se trasladan adecuadamente a proveedores, y que los proveedores cumplemen con ellos en tiempo y forma.</t>
  </si>
  <si>
    <t>Gestión de Underpinning Contracts</t>
  </si>
  <si>
    <t>Alineamiento entre la calidad del servicio demanda por TI y calidad de servicio prestado por proveedores</t>
  </si>
  <si>
    <t>1. No se mide el alineamiento entre la calidad solicitada por la demanda y la calidad prestada por la oferta.</t>
  </si>
  <si>
    <t>5. Se alinean los servicios tecnológicos y los niveles de servicio acordados con los proveedores, incluyendo identificación, especificación, diseño, publicación, acuerdo y supervisión de los servicios, niveles de servicio e indicadores de rendimiento.</t>
  </si>
  <si>
    <t>Consumo de servicios</t>
  </si>
  <si>
    <t>Existencia de mecanismos de consumo de servicios centralizados que permitan tener un gobierno de los mismos.</t>
  </si>
  <si>
    <t>1. No se dispone de mecanismos centralizados de consumo de servicios.</t>
  </si>
  <si>
    <t>5. Existencia de una herramienta que permite el consumo de servicios de terceros centralizada.</t>
  </si>
  <si>
    <t>Medición y Control</t>
  </si>
  <si>
    <t>Capacidad de los procesos y herramientas disponibles para registrar la información asociada al desempeño de la actividad de TI. Uso de la información obtenida para análisis y mejora continua de los procesos monitorizados.</t>
  </si>
  <si>
    <t>1. No se realizan mediciones de la actividad del proveedor.</t>
  </si>
  <si>
    <t>5. Se recolectan, validan y evalúan métricas y objetivos de negocio, de TI y de procesos. Se supervisa que los procesos se están realizando acorde al rendimiento acordado y conforme a los objetivos y métricas y se proporcionan informes de forma sistemática y planificada.</t>
  </si>
  <si>
    <t>Comunicación con los diferentes stakeholders</t>
  </si>
  <si>
    <t>El Contract Manager garantiza la comunicación entre los stakeholders tácticos de TI (Business Partners y Release Managers) y los stakeholders operativos de TI. Se establece un modelo de comunicación, con la definición de comités periódicos y canales de distribución.</t>
  </si>
  <si>
    <t>1. No se establece ningún mecanismo de comunicación formal.</t>
  </si>
  <si>
    <t>5. Existe un plan de comunicación bajo el que se define el modelo de relación de las capas de gestión del Departamento TI y las capas operativas. Para ello, se utilizan Comités periódicos y canales de distribución previamente definidos.</t>
  </si>
  <si>
    <t>Gestión de Operaciones</t>
  </si>
  <si>
    <t>Disponibilidad de un marco de procesos y procedimientos documentado de operación.</t>
  </si>
  <si>
    <t>1. No existe un marco de procesos y procedimientos documentado para la operación TI.</t>
  </si>
  <si>
    <t>5. Se coordinan y ejecutan las actividades y los procedimientos operativos requeridos para entregar servicios de TI, tanto internos como externalizados, incluyendo la ejecución de procesos y procedimientos operativos documentados y las actividades de monitorización requeridas.</t>
  </si>
  <si>
    <t>1. No se realizan mediciones de la actividad de TI.</t>
  </si>
  <si>
    <t>Gestión de Acuerdos de Servicio</t>
  </si>
  <si>
    <t>Alineamiento entre la calidad del servicio prestado por TI y calidad de servicio demandada por negocio.</t>
  </si>
  <si>
    <t>5. Se alinean los servicios tecnológicos y los niveles de servicio con las necesidades y expectativas de la organización, incluyendo identificación, especificación, diseño, publicación, acuerdo y supervisión de los servicios TI, niveles de servicio e indicadores de rendimiento.</t>
  </si>
  <si>
    <t>Seguimiento de la resolución de la demanda</t>
  </si>
  <si>
    <t>Realización de un seguimiento y control de toda la demanda operativa, existiendo un perfil responsable de su resolución.</t>
  </si>
  <si>
    <t>1. No existe un responsable de realizar el seguimiento de la resolución de la demanda</t>
  </si>
  <si>
    <t xml:space="preserve">5. El responsable prioriza, escala y vela por la resolución de la demanda, cumpliendo con los ANSs establecidos. </t>
  </si>
  <si>
    <t>Priorización de la demanda operativa</t>
  </si>
  <si>
    <t xml:space="preserve">La demanda se prioriza de acuerdo a unos criterios definidos. De esta manera, se garantiza que la resolución de la demanda se lleve a cabo de manera adecuada. </t>
  </si>
  <si>
    <t>5. Se prioriza la demanda en base a unos criterios de urgencia e impacto sobre el negocio</t>
  </si>
  <si>
    <t>Gestión de la Disponibilidad y la Capacidad</t>
  </si>
  <si>
    <t>Actividades de planificación de las necesidades futuras de disponibilidad, rendimiento y capacidad.</t>
  </si>
  <si>
    <t>1. No se realiza una gestión previsora de disponibilidad, rendimiento y capacidad.</t>
  </si>
  <si>
    <t>5. Se equilibran las necesidades actuales y futuras de disponibilidad, rendimiento y capacidad con una provisión de servicio efectiva en costes. Incluye la evaluación de las capacidades actuales, la previsión de necesidades futuras basadas en los requerimientos del negocio, el análisis del impacto en el negocio y la evaluación del riesgo para planificar e implementar acciones para alcanzar los requerimientos identificados.</t>
  </si>
  <si>
    <t>Gestión de Activos</t>
  </si>
  <si>
    <t>Existe una gestión de los activos a lo largo de su ciclo de vida. Se gestionan las licencias de software.</t>
  </si>
  <si>
    <t>1. No se realiza una gestión de activos ni de licencias formalizada.</t>
  </si>
  <si>
    <t>5. Se gestionan los activos de TI a través de su ciclo de vida para asegurar que su uso aporta valor a un coste óptimo, que se mantendrán en funcionamiento, que están justificados y protegidos físicamente, y que los activos que son fundamentales para apoyar la capacidad del servicio son fiables y están disponibles. Se administran las licencias de software para asegurar que se adquiere el número óptimo, se mantienen y despliegan en relación con el uso necesario para el negocio y el software instalado cumple con los acuerdos de licencia.</t>
  </si>
  <si>
    <t>Gestión de la Configuración</t>
  </si>
  <si>
    <t>Existe una gestión de los elementos de configuracion a lo largo de su ciclo de vida.</t>
  </si>
  <si>
    <t>1. No se realiza una gestión de los elementos de configuración y sus relaciones.</t>
  </si>
  <si>
    <t>5. Se definen y mantienen las definiciones y relaciones entre los principales recursos y capacidades necesarios para la prestación de los servicios proporcionados por TI, incluyendo la recopilación de información de configuración, el establecimiento de líneas de referencia, la verificación y auditoría de la información de configuración y la actualización del repositorio de configuración.</t>
  </si>
  <si>
    <t>Monitorización, medición y mejora continua</t>
  </si>
  <si>
    <t xml:space="preserve">Se realiza monitorización de los servicios prestados, se realizan mediciones para impulsar iniciativas de mejora continua. </t>
  </si>
  <si>
    <t>1. No se realiza monitorización ni mediciones, ni mejora continua.</t>
  </si>
  <si>
    <t>5. Se cuenta con cuadro de mando para la monitorización de los servicios prestados, se realizan mediciones de rendimiento que ayuden a impulsar iniciativas de mejora continua.</t>
  </si>
  <si>
    <t>Gestión del Portafolio de Servicios y Programas</t>
  </si>
  <si>
    <t>Capacidad de Gestión de un Portafolio completo de los Servicios prestados por la TI y de todos los programas gestionados de manera integral.</t>
  </si>
  <si>
    <t>1. No existe una gestión del portafolio de servicios y programas global a todo TI.</t>
  </si>
  <si>
    <t>5. Se evalúan, priorizan y equilibran programas y servicios, se gestiona la demanda con los recursos y restricciones de fondos, basados en su alineamiento con los objetivos estratégicos así como en su valor y riesgo corporativo. Se mueven los programas seleccionados al portafolio de servicios activos listos para ser ejecutados. Se supervisa el rendimiento global del portafolio de servicios y programas, proponiendo ajustes si fuesen necesarios en respuesta al rendimiento de programas y servicios o al cambio en las prioridades corporativas.</t>
  </si>
  <si>
    <t>Gestión de Riesgos de proyectos</t>
  </si>
  <si>
    <t>Capacidad de los mecanismos de gestión de riesgos para controlar y mitigar el riesgo asociado a los proyectos.</t>
  </si>
  <si>
    <t xml:space="preserve">5. Se identifican, evalúan y reducen los riesgos relacionados con todos los proyectos de forma continua, dentro de niveles de tolerancia establecidos por la dirección </t>
  </si>
  <si>
    <t>Gestión de Programas y Proyectos</t>
  </si>
  <si>
    <t>Eficacia de los mecanismos de control y seguimiento en la ejecución de proyectos.</t>
  </si>
  <si>
    <t>1. No existe un proceso de gestión de programas y proyectos.</t>
  </si>
  <si>
    <t>5. Se gestionan todos los programas y proyectos del portafolio de forma coordinada y en línea con la estrategia corporativa. Se inician, planifican, controlan y ejecutan programas y proyectos y se cierran con una revisión post-implementación.</t>
  </si>
  <si>
    <t>Gestión de recursos</t>
  </si>
  <si>
    <t>Estimación de los recursos y capacidades necesarias en el Departamento TI, y la gestión de los mismos para la prestación de los servicios TI</t>
  </si>
  <si>
    <t>1. No se realiza una estimación y gestión de recursos</t>
  </si>
  <si>
    <t>5. Se realiza una gestión para asegurar que las adecuadas y suficientes capacidades relacionadas con las TI (personas, procesos y tecnologías) están disponibles para soportar eficazmente los objetivos de la empresa a un coste óptimo.</t>
  </si>
  <si>
    <t>Plantillas de proyectos</t>
  </si>
  <si>
    <t>Existencia de templates o esqueletos que permitan estandarizar la gestión de proyectos.</t>
  </si>
  <si>
    <t>1. No existen plantillas para la gestión de proyectos.</t>
  </si>
  <si>
    <t xml:space="preserve">5. Se dispone de plantillas relacionadas con la calidad de los proyectos, actas de reuniones, informes de pre-estudio y viabilidad, guías de planificación, informes de ejecución, informes de seguimiento e informes de cierre de los proyectos. </t>
  </si>
  <si>
    <t>Control Presupuestario de proyectos</t>
  </si>
  <si>
    <t>Control presupuestario de los proyectos desarrollados en el departamento</t>
  </si>
  <si>
    <t>1. No existe un control presupuestario</t>
  </si>
  <si>
    <t xml:space="preserve">5. La PMO realiza la gestión presupuestaria de los proyectos en base al Marco Metodológico establecido, controlando que el presupuesto definido por negocio esté alineado con el presupuesto incurrido durante la ejecución del proyecto, comunicando las desviaciones encontradas.  </t>
  </si>
  <si>
    <t>Seguimiento de proyectos</t>
  </si>
  <si>
    <t>Evaluación de la salud de cada proyecto de manera periódica</t>
  </si>
  <si>
    <t>1. No se lleva a cabo un seguimiento de los proyectos a ningún nivel</t>
  </si>
  <si>
    <t>5. Se reporta con una frecuencia determinada cuál es el estado actual de todos los proyectos, proporcionando una visión global de la salud de los proyectos que permita la toma de decisiones.</t>
  </si>
  <si>
    <t>PMO-008</t>
  </si>
  <si>
    <t>Cumplimiento del marco metodológico</t>
  </si>
  <si>
    <t>Realiza y supervisa los procesos enmarcados en el marco metodológico establecido, y vela por su cumplimiento en todas las fases del proyecto</t>
  </si>
  <si>
    <t>1. No existe Marco Metodológico</t>
  </si>
  <si>
    <t xml:space="preserve">5. Está establecido. Se realizan los procesos para su cumplimiento y se supervisa que se cumpla. </t>
  </si>
  <si>
    <t>Gestión Presupuestaria del departamento TI</t>
  </si>
  <si>
    <t>Se planifica y se realiza seguimiento del presupuesto anual del departamento.</t>
  </si>
  <si>
    <t>1. No hay gestión presupuestaria a nivel departamento.</t>
  </si>
  <si>
    <t xml:space="preserve">5. Se realiza presupuesto anual para el departamento y se realiza seguimiento periódico de su ejecución.  </t>
  </si>
  <si>
    <t>Gestión Financiera del departamento de TI</t>
  </si>
  <si>
    <t>Se realiza una gestión financiera completa a nivel departamento.</t>
  </si>
  <si>
    <t>1. No hay gestión financiera del departamento.</t>
  </si>
  <si>
    <t>5. Se realiza la gestión financiera del departamento para conocer el coste que tienen los diferentes trabajos realizados por el departamento.</t>
  </si>
  <si>
    <t>Documentación</t>
  </si>
  <si>
    <t>Existencia de documentación funcional y técnica tanto de la arquitectura como de los desarrollos realizados.</t>
  </si>
  <si>
    <t>1. No existe documentación funcional ni técnica.</t>
  </si>
  <si>
    <t>5. Se dispone de documentación funcional y técnica de uso de la arquitectura así como de los sistemas desarrollados con la misma. Dicha documentación se encuentra versionada y alineada con las versiones de la arquitectura y los sistemas.</t>
  </si>
  <si>
    <t>Nivel de obsolescencia tecnológica</t>
  </si>
  <si>
    <t>Situación del ciclo de vida en el que se encuentran los frameworks que intervienen en el desarrollo y ejecución de los sistemas.</t>
  </si>
  <si>
    <t>1. Las tecnologías empleadas se encuentran discontinuadas actualmente, no disponen de soporte oficial y presentan dificultades para ser empleadas con los nuevos dispositivos.</t>
  </si>
  <si>
    <t>5. La tecnología empleada en las aplicaciones se encuentra entre las tecnologías actuales más extendidas e incorpora facilidades de uso con los nuevos dispositivos.</t>
  </si>
  <si>
    <t>Independencia tecnológica de sistemas externos</t>
  </si>
  <si>
    <t>Grado de independencia de las tecnologías involucradas en el sistema operacional con respecto a los sistemas sobre los que se apoya.</t>
  </si>
  <si>
    <t>1. Las aplicaciones son completamente dependientes de los sistemas externos no pudiendo ser modificados.</t>
  </si>
  <si>
    <t>5. Las aplicaciones son completamente independientes de los sistemas sobre lo que se encuentran desplegados.</t>
  </si>
  <si>
    <t>Monitorización</t>
  </si>
  <si>
    <t>Capacidad de monitorización del sistema y de la actividad de negocio.</t>
  </si>
  <si>
    <t>1. No existen mecanismos ni herramientas de monitorización.</t>
  </si>
  <si>
    <t>5. Existen herramientas de monitorización del uso de servicios, para su uso por negocio y por sistemas.</t>
  </si>
  <si>
    <t xml:space="preserve">Conocimiento transversal </t>
  </si>
  <si>
    <t>Grado de conocimiento por persona de los sistemas que quedan fuera de su responsabilidad.</t>
  </si>
  <si>
    <t xml:space="preserve">1. Cada persona, de manera individual, actúa como único conocedor de determinados programas y aplicaciones, teniendo dicha persona todo el conocimiento sobre los mismos. </t>
  </si>
  <si>
    <t>5. El conocimiento de los principales sistemas, tanto aplicaciones como programas, está repartido en diferentes personas, o al menos está adecuadamente documentado. De esta manera, se minimiza al máximo la dependencia de la compañía de perfiles tecnológicos concretos.</t>
  </si>
  <si>
    <t>Modelo de Reporting e Indicadores</t>
  </si>
  <si>
    <t>Se establece un modelo y periodicidad de reporting que el proveedor debe proporcinar conel objetio de conocer el alcance del trabajo realizad oy el cumplimiento de los ANSs.</t>
  </si>
  <si>
    <t>1. No está establecido un modelo de reporting que el proveedor debe proporcionar.</t>
  </si>
  <si>
    <t>5. Está establecido un modelo detallado de reporting con documentos y periodicidad, para conocer el alcance del trabajo realizado, lo que queda por realizar, los plazos establecidos y el cumplimiento de las ANSs.</t>
  </si>
  <si>
    <t>Modelo de Relación con el proveedor</t>
  </si>
  <si>
    <t>Establecimiento de un modelo de relacion con el proveedor de servicios.</t>
  </si>
  <si>
    <t>1. No está establecido un modelo de relación con los proveedores.</t>
  </si>
  <si>
    <t>5. Se establece un modelo de relación con los proveedores. Se mantienen reuniones periodicas para el intercambio de información y el cumplimiento de las ANSs.</t>
  </si>
  <si>
    <t>Versionado y generación de releases</t>
  </si>
  <si>
    <t>Existencia de una metodología de versionado del código fuente (no orientado a una herramienta de control de versiones) y una generación de Releases  de los distintos artefactos que forman parte de los entregables.</t>
  </si>
  <si>
    <t>1. No existe un versionado ni una generación de releases de los sistemas.</t>
  </si>
  <si>
    <t>5. Se dispone de una metodología de versionado del código fuente, y una generación de releases.</t>
  </si>
  <si>
    <t>Repositorio de versiones</t>
  </si>
  <si>
    <t>Existencia de un repositorio de versiones</t>
  </si>
  <si>
    <t>1. No existe un repositorio de versiones.</t>
  </si>
  <si>
    <t>5. Se dispone de un repositorio de versiones corporativo donde se encuentran todos los desarrollos generados, versionados y cuyo acceso es controlado mediante mecanismos de seguridad corporativos.</t>
  </si>
  <si>
    <t>Control de versiones</t>
  </si>
  <si>
    <t>Existencia de una herramienta de control de versiones.</t>
  </si>
  <si>
    <t>1. No existe una herramienta de control de versiones.</t>
  </si>
  <si>
    <t>5. Existe una herramienta de control de versiones corporativo para todo el código fuente que permita versionar y generar releases de versiones, trabajo con distintas ramas de cada artefacto así como una metodología de uso de dicho control de versiones.</t>
  </si>
  <si>
    <t>Gestión de Cambios</t>
  </si>
  <si>
    <t>Mecanismos de creación, ejecución, control y seguimiento de cambios.</t>
  </si>
  <si>
    <t>No existen mecanismos de Gestión de Cambios.</t>
  </si>
  <si>
    <t>Se gestionan todos los cambios de una forma controlada, incluyendo cambios estándar y de mantenimiento de emergencia en relación con los procesos de negocio, aplicaciones e infraestructura. Esto incluye normas y procedimientos de cambio, análisis de impacto, priorización y autorización, cambios de emergencia, seguimiento, reporte, cierre y documentación.</t>
  </si>
  <si>
    <t>Generación de planes de seguimiento.</t>
  </si>
  <si>
    <t>Se recopila información por parte de los equipos participantes y de los Contract Managers y se genera la documentación relativa al seguimiento del proyecto para escalarla al Business Partners.</t>
  </si>
  <si>
    <t>1. No se hace recopilación ni se  genera documentación específica de seguimiento de proyecto para escalar la información a negocio</t>
  </si>
  <si>
    <t>5. Se recopila, organiza y documenta toda la información relativa al seguimiento del proyecto y se transmite dicha información al Business Partner</t>
  </si>
  <si>
    <t>Identificación y seguimiento de riesgos del proyecto</t>
  </si>
  <si>
    <t>Se definen y detectan los riesgos del proyecto de manera temprana y se escalan a la PMO para que haga seguimiento y ayude en los planes de mitigación.</t>
  </si>
  <si>
    <t>1. No se realiza gestión de riesgos</t>
  </si>
  <si>
    <t>5. Se identifican los posibles riesgos que puedan afectar al proyecto y se tratan según el marco metodológico.</t>
  </si>
  <si>
    <t>Coordinación de equipos</t>
  </si>
  <si>
    <t>Se realiza la coordinación de manera efectiva de los distintos equipos que participan en el proyecto. Contando con ellos desde los comienzos y permitiendo que aporten su visión.</t>
  </si>
  <si>
    <t>1. No se realiza una coordinación efectiva, se implica a los equipos a medida que se los necesita sin una participación previa y un conocimiento del contexto del proyecto.</t>
  </si>
  <si>
    <t xml:space="preserve">5. Se realizan reuniones previas de proyecto a la que asisten todos los equipos que va a participar para informar y que aporten su visión, se organizan reuniones de seguimiento periódicas durante el ciclo de vida del proyecto. </t>
  </si>
  <si>
    <t>Coordinación de contenido de Release</t>
  </si>
  <si>
    <t xml:space="preserve">Se lleva un control exhaustivo de los contenidos de funcionalidad que se incluyen en cada Release. </t>
  </si>
  <si>
    <t>1. No se lleva control ni se documenta el contenido de funcionalidad que se incluye en cada Release.</t>
  </si>
  <si>
    <t>5. Se establece un protocolo de actualización del documento de contenidos de Releases de manera que se pueda consultar el historial de funcionalidades por Release.</t>
  </si>
  <si>
    <t>Gestión de Proyectos</t>
  </si>
  <si>
    <t>Planificacion, ejecución y control del proyecto velando por el cumplimiento de sus objetivos. Gestión de recursos y control de los cambios.</t>
  </si>
  <si>
    <t>1. No se realiza una planificación ni control de los proyectos.</t>
  </si>
  <si>
    <t>5. Se realiza una planificackón inicial del proyecto involucrando a todos los afectados, se realiza seguimiento y control en la ejecucíón gestionando los cambios y recursos para cumplir con los objetivos marcados. Se deben gestionar las restricciones del proyecto: alcance, calidad, tiempo, coste, riesgos y satisfacción del cliente.</t>
  </si>
  <si>
    <t>REC-001</t>
  </si>
  <si>
    <t>No existe una estrategia global de QA</t>
  </si>
  <si>
    <t>La estrategia de QA se encuentra implantada de forma cross en todos los desarrollos contando con una metodología claramente definida, recursos dedicados e involucrados en todo el ciclo de vida del software.</t>
  </si>
  <si>
    <t>Datos de prueba</t>
  </si>
  <si>
    <t>Existencia de métodos para la carga de datos de prueba suficientes para la realización de las mismas. Ofuscación de los datos en entornos no productivos.</t>
  </si>
  <si>
    <t>No existen métodos para la carga de datos de prueba. Se realizan manualmente. Hay pocos datos para la realización de pruebas.</t>
  </si>
  <si>
    <t>Se dispone de métodos automatizados para la carga de pruebas y existen datos suficientes para hacer pruebas, semejantes a los del entorno de Producción.</t>
  </si>
  <si>
    <t>Pruebas automatizadas</t>
  </si>
  <si>
    <t>Se realizan pruebas para todos los elementos afectados en el desarrollo (pruebas funcionales y de regresión). Estas pruebas han de ser automatizadas en medida de lo posible</t>
  </si>
  <si>
    <t>No se realizan pruebas para todos los elementos afectados en el desarrollo</t>
  </si>
  <si>
    <t>Se realizan pruebas para todos los elementos afectados en el desarrollo y estas se realizan de forma automática</t>
  </si>
  <si>
    <t>Pruebas de procedimientos de operación automáticos</t>
  </si>
  <si>
    <t>Pruebas de los procedimientos automatizados para asegurar su ejecución y la correcta ejecución de estos</t>
  </si>
  <si>
    <t>No se realizan pruebas a los procedimientos automatizados.</t>
  </si>
  <si>
    <t>Se realizan pruebas a los procedimientos automáticos para asegurarnos que funcionarán en producción con ciertas garantías.</t>
  </si>
  <si>
    <t>Pruebas de Rendimiento</t>
  </si>
  <si>
    <t>Ejecutar e implementar automáticamente las funcionalidades de un programa o servicio para comprobar su correcto funcionamiento bajo escenarios de gran carga y establecer así sus límites antes de la degradación o el fallo.</t>
  </si>
  <si>
    <t>No se realizan pruebas de rendimiento.</t>
  </si>
  <si>
    <t>Se realizan pruebas de rendimiento automáticas en cada despliegue basadas en patrones de actividad.</t>
  </si>
  <si>
    <t>Pruebas de Disaster Recovery</t>
  </si>
  <si>
    <t>Realización de pruebas de disaster recovery en base a los procedimientos de recuperación (o planes de contingencia).</t>
  </si>
  <si>
    <t>No se realizan pruebas de disaster recovery.</t>
  </si>
  <si>
    <t xml:space="preserve">Se realizan pruebas de disaster recovery según el plan de contingencia existente antes de la puesta en producción, pruebas completas de forma periódica y cumplen los RTO/RPO definidos. </t>
  </si>
  <si>
    <t>Pruebas de HA y tolerancia a fallos</t>
  </si>
  <si>
    <t>Existencia de pruebas obligatorias de HA y tolerancia a fallos. Elaboración de informe de las mismas con una aprobación necesaria.</t>
  </si>
  <si>
    <t>No existen pruebas obligatorias de HA y tolerancia a fallos en una mayor parte de las soluciones.</t>
  </si>
  <si>
    <t>Se realizan planes de pruebas obligatorios de HA y tolerancia a fallos en todas las soluciones de manera previa al pase a producción y de forma continuada y periódica después del mismo.</t>
  </si>
  <si>
    <t>Herramientas de medición de calidad del código en puesto local</t>
  </si>
  <si>
    <t>Existencia herramientas implementadas en los puestos locales para la medición de calidad del código en tiempo real.</t>
  </si>
  <si>
    <t>No se dispone de herramientas de medición de calidad de código en los puestos locales.</t>
  </si>
  <si>
    <t xml:space="preserve">Se dispone de herramientas que incluyen todas las reglas de calidad corporativas, configurada para los puestos locales. </t>
  </si>
  <si>
    <t>Prácticas de revisión de código</t>
  </si>
  <si>
    <t>Existe una metodología para la revisión manual del código que asegure la calidad de los desarrollos antes de su despliegue.</t>
  </si>
  <si>
    <t>No existe una metodología interna de revisión de código.</t>
  </si>
  <si>
    <t>Existe una política para la revisión del código antes del despliegue.</t>
  </si>
  <si>
    <t>Validación de calidad del código</t>
  </si>
  <si>
    <t>Se realizan análisis de calidad de código automáticos en los entornos</t>
  </si>
  <si>
    <t>Se realizan análisis de calidad del código manualmente</t>
  </si>
  <si>
    <t>Se realizan análisis de calidad del código de manera automática</t>
  </si>
  <si>
    <t>Grado de cumplimiento de Calidad</t>
  </si>
  <si>
    <t>Cumplimiento de los requisitos de calidad de las aplicaciones</t>
  </si>
  <si>
    <t>Las aplicaciones de producción no cumplen los umbrales mínimos de calidad.</t>
  </si>
  <si>
    <t>Las aplicaciones de producción cumplen los requisitos mínimos de calidad, puesto que no hay subidas a producción que no hayan pasado todas las baterías de pruebas.</t>
  </si>
  <si>
    <t>Arquitectura estándar para el desarrollo</t>
  </si>
  <si>
    <t>Existencia de una arquitectura de desarrollo que automatiza, en la medida de lo posible, todas las tareas hasta la subida a producción, cumpliendo con las políticas de reliability.</t>
  </si>
  <si>
    <t>No existe ninguna arquitectura estándar.</t>
  </si>
  <si>
    <t>Existe una arquitectura estándar que es seguida por todos los desarrollos.</t>
  </si>
  <si>
    <t>Facilidad de estandarización</t>
  </si>
  <si>
    <t>Facilidad para basar los desarrollos en las arquitecturas y plataformas estándar</t>
  </si>
  <si>
    <t>Existe una complejidad alta para realizar desarrollos en las arquitecturas estándar establecidas, debido a la complejidad de las mismas y la falta de documentación.</t>
  </si>
  <si>
    <t>Existe una mínima complejidad para la adaptación de soluciones en las arquitecturas y plataformas estándar establecidas.</t>
  </si>
  <si>
    <t>Repositorio de código</t>
  </si>
  <si>
    <t>Existen repositorios de código para el almacenamiento y versionado de las aplicaciones. Debe ser público, accesible y centralizado. Debe contener todos los fuentes, configuraciones y dependencias ejecutados en cada momento en cada entorno y sus responsables. Debe permitir el versionado y el control de código</t>
  </si>
  <si>
    <t>No existen repositorios de código para el almacenamiento y versionado de las aplicaciones</t>
  </si>
  <si>
    <t>Existen repositorios de código y políticas eficientes para el almacenamiento y versionado de los mismos. Es público, accesible y centralizado y contiene todos los fuentes, configuraciones y dependencias ejecutados en cada momento y en cada entorno. Debe permitir el versionado y el control de código</t>
  </si>
  <si>
    <t>IDE de Desarrollo</t>
  </si>
  <si>
    <t>Existencia de herramientas de desarrollo de las aplicaciones.</t>
  </si>
  <si>
    <t>No existe un IDE corporativo para el desarrollo de aplicaciones.</t>
  </si>
  <si>
    <t xml:space="preserve">Se dispone de un IDE corporativo paquetizado y autocontenido cuya distribución e instalación se realice de forma rápida entre los equipos de desarrollo. </t>
  </si>
  <si>
    <t>016</t>
  </si>
  <si>
    <t>Entorno colaborativo</t>
  </si>
  <si>
    <t>Se tienen herramientas con la capacidad de realizar desarrollos de forma colaborativa</t>
  </si>
  <si>
    <t>No se trabaja de forma colaborativa</t>
  </si>
  <si>
    <t>Se tienen herramientas para facilitar el desarrollo de forma colaborativa entre equipos, compartir código, preguntas, soluciones de problemas, soporte etc</t>
  </si>
  <si>
    <t>017</t>
  </si>
  <si>
    <t>No existe documentación funcional ni técnica.</t>
  </si>
  <si>
    <t>Se dispone de documentación funcional y técnica de uso de la arquitectura así como de los sistemas desarrollados con la misma. Dicha documentación se encuentra versionada y alineada con las versiones de la arquitectura y los sistemas.</t>
  </si>
  <si>
    <t>018</t>
  </si>
  <si>
    <t>Documentación de componentes homologados</t>
  </si>
  <si>
    <t>Se dispone de documentación suficiente de los componentes homologados para facilitar su reutilización.</t>
  </si>
  <si>
    <t>No se dispone de documentación suficiente para la mayoría de componentes homologados.</t>
  </si>
  <si>
    <t>Todos los componentes homologados están correctamente documentados.</t>
  </si>
  <si>
    <t>019</t>
  </si>
  <si>
    <t>Reutilización de componentes</t>
  </si>
  <si>
    <t>Existencia de una metodología y gobierno para la producción de componentes reutilizables.</t>
  </si>
  <si>
    <t>No existe una metodología ni gobierno para la producción de componentes reutilizables.</t>
  </si>
  <si>
    <t>Existe una metodología y gobierno en favor del desarrollo de módulos y componentes reutilizables.</t>
  </si>
  <si>
    <t>020</t>
  </si>
  <si>
    <t>Gestión de artefactos de software</t>
  </si>
  <si>
    <t>Existe una herramienta o repositorio para la gestión y el almacenamiento de artefactos de software (librerías..etc) que se integre directamente con los entornos.</t>
  </si>
  <si>
    <t>No existe un repositorio de artefactos de software</t>
  </si>
  <si>
    <t>Existe un repositorio de artefactos de software que se integra directamente con los entornos.</t>
  </si>
  <si>
    <t>021</t>
  </si>
  <si>
    <t>Gestión del ciclo de vida de las APIs</t>
  </si>
  <si>
    <t>Capacidad de conocer el estado de las API: Activo, inactivo, deprecado, versión, documentación etc</t>
  </si>
  <si>
    <t>No se puede consultar el estado de un API o resulta difícil recoger esta información</t>
  </si>
  <si>
    <t>Se cuenta con una herramienta general para consultar el estado de las API y su documentación.</t>
  </si>
  <si>
    <t>022</t>
  </si>
  <si>
    <t>Continuous Integration</t>
  </si>
  <si>
    <t>Existencia de ciclo de integración continua en los desarrollos</t>
  </si>
  <si>
    <t>No se sigue un ciclo de integración continua con herramientas y automatismos específicos.</t>
  </si>
  <si>
    <t>Se tiene un ciclo de integración continua que siguen todos los desarrollos, por el que se realiza de forma automática con algún disparador definido la compilación, paso de test y calidad para testear la correcta integración de código.</t>
  </si>
  <si>
    <t>023</t>
  </si>
  <si>
    <t>Continuous Delivery</t>
  </si>
  <si>
    <t>Existencia de un ciclo de continuos delivery en los desarrollos</t>
  </si>
  <si>
    <t>No se sigue ningún ciclo de continuos delivery con herramientas y automatismos específicos</t>
  </si>
  <si>
    <t>Se tiene un ciclo de integración continua y además de forma automática ante un disparador se continúa el ciclo pasando por el resto de entornos (excepto producción) además juego de pruebas completo (automáticas) y procesos de calidad completos (automáticos) hasta generar una release preparada para su puesta en producción.</t>
  </si>
  <si>
    <t>024</t>
  </si>
  <si>
    <t>Continuous Deployment</t>
  </si>
  <si>
    <t>Existencia de un ciclo de continuous deployment en los desarrollos</t>
  </si>
  <si>
    <t>No se sigue ningún ciclo de continuous deployment con herramientas y automatismos específicos</t>
  </si>
  <si>
    <t>Teniendo una release preparada, se despliega en producción de forma totalmente automatizada ante un disparador (generación de la release) definido.</t>
  </si>
  <si>
    <t>025</t>
  </si>
  <si>
    <t>Estado de los entornos</t>
  </si>
  <si>
    <t>Estado de los diferentes entornos para asegurar el correcto despliegue de SW  (versiones de SW, librerías,...) y la ejecución de la batería de pruebas (tanto funcionales como de HA, DR, rendimiento)</t>
  </si>
  <si>
    <t>Entornos con deficiencias para el aseguramiento del correcto despliegue de SW y ejecución de pruebas</t>
  </si>
  <si>
    <t>Entornos correctamente configurados para asegurar el correcto despliegue de SW  (versiones de SW, librerías,...) y la ejecución de la batería de pruebas (tanto funcionales como de HA, DR, rendimiento)</t>
  </si>
  <si>
    <t>026</t>
  </si>
  <si>
    <t>Categoría de CPD on-premises</t>
  </si>
  <si>
    <t>Clasificación TIER, que establece 4 categorías en función del nivel de redundancia de los componentes que soportan el datacenter</t>
  </si>
  <si>
    <t>No se llega a la categoría TIER I (99,671%)</t>
  </si>
  <si>
    <t>TIER IV: centro de datos tolerante a fallos con disponibilidad de 99,995%</t>
  </si>
  <si>
    <t>027</t>
  </si>
  <si>
    <t>Categoría de CPD on-cloud</t>
  </si>
  <si>
    <t>Monitorización E2E</t>
  </si>
  <si>
    <t>Existencia de herramientas y procedimientos eficaces para la monitorización E2E y análisis Deep Dive de cada componente de la solución</t>
  </si>
  <si>
    <t>No se utilizan herramientas para la monitorización E2E.</t>
  </si>
  <si>
    <t>Se tienen herramientas que monitorizan en tiempo real las operativas del usuario: tiempos de respuesta y estado de salud. Monitor en tiempo real del performance de cada componente funcional. Existencia de transacciones sintéticas, poder hacer drill-down entre sus componentes y análisis click-path de cada usuario.</t>
  </si>
  <si>
    <t>Monitorización Health Component</t>
  </si>
  <si>
    <t>Existencia de herramientas y procedimientos eficaces para la monitorización del estado de salud de los componentes y alerta de incidencias.</t>
  </si>
  <si>
    <t>No se utilizan herramientas para la monitorización reactiva.</t>
  </si>
  <si>
    <t>Se utilizan herramientas para la monitorización del estado de salud de todos los componentes de la arquitectura y integrada con herramientas de ticketing</t>
  </si>
  <si>
    <t>Automatización de Monitorización</t>
  </si>
  <si>
    <t>Existencia de mecanismos para la monitorización automática de los componentes de arquitectura e infraestructura al dar de alta nuevos componentes.</t>
  </si>
  <si>
    <t>No existen mecanismos para la monitorización automática de componentes.</t>
  </si>
  <si>
    <t>La monitorización de nuevos componentes se realiza de manera automática en base a plantillas predefinidas en función de la tipología del componente.</t>
  </si>
  <si>
    <t>Descubrimiento automático de componentes</t>
  </si>
  <si>
    <t>Existencia de herramientas de descubrimiento automático de componentes de arquitectura</t>
  </si>
  <si>
    <t>No existen herramientas que faciliten la labor de descubrimiento de componentes para el mantenimiento y actualización de la arquitectura.</t>
  </si>
  <si>
    <t>Existen herramientas de descubrimiento que facilitan toda la información necesaria para el mantenimiento de los componentes de la arquitectura (CMDB) y las relaciones entre ellos.</t>
  </si>
  <si>
    <t>Histórico Subidas a Producción</t>
  </si>
  <si>
    <t>Se guarda un histórico de los elementos subidos a producción, incluyendo la fecha y el responsable.</t>
  </si>
  <si>
    <t>No se guarda un histórico de las subidas a producción realizadas.</t>
  </si>
  <si>
    <t>Se guarda un histórico accesible de todas las subidas a producción realizadas que permite la trazabilidad, de forma completa, de todo el proceso de construcción, empaquetado y despliegue.</t>
  </si>
  <si>
    <t>Políticas marcha atrás producción</t>
  </si>
  <si>
    <t>Existencia de políticas de marcha atrás en el entorno de Producción.</t>
  </si>
  <si>
    <t>No existen políticas y procedimientos de marcha atrás en las subidas al entorno de Producción</t>
  </si>
  <si>
    <t>Existen políticas y procedimientos de marcha atrás.</t>
  </si>
  <si>
    <t>Gestión de paquetes SSOO</t>
  </si>
  <si>
    <t>Capacidad del componente para gestionar sistemas de paquetes software de diferentes distribuciones de sistema operativo.</t>
  </si>
  <si>
    <t>No se dispone de gestión e instalación de paquetes de sistema operativo.</t>
  </si>
  <si>
    <t>Se dispone de herramientas de gestión e instalación de paquetes de sistema operativo para las distintas distribuciones existentes en los diferentes entornos.</t>
  </si>
  <si>
    <t>Publicación de calendario de subidas a PROD</t>
  </si>
  <si>
    <t>Existencia de un calendario de subidas a PROD público y accesible en todo momento.</t>
  </si>
  <si>
    <t>No se publica ningún calendario de subidas a PROD.</t>
  </si>
  <si>
    <t>Existe un calendario de subidas actualizado, consensuado y público (accesible) para mínimo los próximos 6 meses</t>
  </si>
  <si>
    <t>Capas de Diseño de Aplicaciones</t>
  </si>
  <si>
    <t>En la fase de diseño, las aplicaciones deben de ser estructuradas en capas: Front, Servicios, LN, Procesos y Datos.</t>
  </si>
  <si>
    <t>Existen problemas detectados debidos a la mala estructuración en capas de las soluciones</t>
  </si>
  <si>
    <t>La estructura en capas de las soluciones sigue los estándares marcados por el banco</t>
  </si>
  <si>
    <t>Infraestructura Cloud/Virtualizada</t>
  </si>
  <si>
    <t>Arquitecturas que se pueden establecer en Cloud o entornos virtualizados para los elementos que lo requieran</t>
  </si>
  <si>
    <t>No se dispone de aplicaciones migradas a una arquitectura Cloud o Virtualizada.</t>
  </si>
  <si>
    <t>Todas las aplicaciones trabajan en arquitectura Cloud/Virtualizada o preparada para ser Cloud/Virtualizada.</t>
  </si>
  <si>
    <t>Granularidad</t>
  </si>
  <si>
    <t>Existencia de problemas de rendimiento debidos a la granularidad dispar entre servicios y transacciones.</t>
  </si>
  <si>
    <t>Existen problemas de rendimiento graves debido a la granularidad dispar de los sistemas.</t>
  </si>
  <si>
    <t>Se diseñan servicios y transacciones para cada funcionalidad de Negocio.</t>
  </si>
  <si>
    <t>Gestión de APIs</t>
  </si>
  <si>
    <t>Existe una herramienta para la gestión de APIs</t>
  </si>
  <si>
    <t>No se trabaja con APIs</t>
  </si>
  <si>
    <t>Se trabaja con APIs y existe una herramienta donde se gestiona su catálogo, gobierno y documentación.</t>
  </si>
  <si>
    <t>Orquestación de servicios</t>
  </si>
  <si>
    <t xml:space="preserve">Capacidad de combinar varias llamadas a servicios distintos de forma homogénea. </t>
  </si>
  <si>
    <t>No existe capacidad de orquestación de servicios.</t>
  </si>
  <si>
    <t>Se dispone de una herramienta que permita orquestar mensajes entre distintos servicios de diferentes sistemas para favorecer la usabilidad y reutilización del código.</t>
  </si>
  <si>
    <t>HA Servidor Físico</t>
  </si>
  <si>
    <t>Se determinan los roles de cada servidor (web, aplicaciones..) siendo necesaria la duplicidad hardware</t>
  </si>
  <si>
    <t>No existe redundancia de servidores</t>
  </si>
  <si>
    <t>Todos los sistemas críticos están redundados con servidores de iguales características técnicas y se ubican en racks/chasis y CPDs diferentes al resto de nodos del clúster de alta disponibilidad.</t>
  </si>
  <si>
    <t>RHA-011</t>
  </si>
  <si>
    <t>HA Servidor Virtual</t>
  </si>
  <si>
    <t xml:space="preserve">Ubicación de nodos replicados de servidores virtuales </t>
  </si>
  <si>
    <t>No existen nodos replicados de servidores virtuales</t>
  </si>
  <si>
    <t>Los nodos replicados de servidores virtuales se ubican en gestores diferentes a su principal.</t>
  </si>
  <si>
    <t>Redundancia Hardware</t>
  </si>
  <si>
    <t>El hardware redundado cumple la política de reliability</t>
  </si>
  <si>
    <t>No se cumplen las políticas de reliability establecidas (valor máximo)</t>
  </si>
  <si>
    <t>Los servidores/racks disponen de tomas de corriente duplicadas con fuentes de alimentación independientes suministradas por líneas eléctricas separadas, protegidas por sistemas de alimentación ininterrumpida. 
Los servidores disponen de tarjetas de interconexión duplicadas, tanto de almacenamiento por fibra como Ethernet.
Las interconexiones se encuentran en circuitos de red independientes. Las de fibra se provisionan por dos controladoras de almacenamiento SAN diferentes. Las Ethernet se encuentran conectadas a routers diferentes que conforman una misma red. Los elementos de interconexión se encuentran en líneas de suministro eléctrico independiente.</t>
  </si>
  <si>
    <t>Redundancia comunicaciones entre CPDs</t>
  </si>
  <si>
    <t>Redundancia en las comunicaciones entre los CPDs principal y de respaldo</t>
  </si>
  <si>
    <t>Un solo camino fibra o Ethernet</t>
  </si>
  <si>
    <t>Línea redundada para la comunicación entre centros, para todos los protocolos, permitiendo extender LAN y SAN entre centros.</t>
  </si>
  <si>
    <t>Redundancia Salida a Internet</t>
  </si>
  <si>
    <t>Redundancia salida a Internet</t>
  </si>
  <si>
    <t>Acceso a internet único con un solo proveedor</t>
  </si>
  <si>
    <t>Acceso a internet con dos proveedores independientes, por distinta zona del edificio y con configuración BGP o similar.</t>
  </si>
  <si>
    <t>Diseños no SPOF</t>
  </si>
  <si>
    <t>Las soluciones no adaptadas a arquitecturas estándar están adaptadas a diseños sin puntos únicos de fallo</t>
  </si>
  <si>
    <t>Las soluciones no adaptadas a arquitecturas estándar no están adaptadas a diseños sin puntos únicos de fallo</t>
  </si>
  <si>
    <t>Todas las soluciones no adaptadas a arquitecturas estándar están adaptadas a diseños sin puntos únicos de fallo</t>
  </si>
  <si>
    <t>HA BBDD</t>
  </si>
  <si>
    <t>Alta disponibilidad de las BBDD: DB2, SQLServer, Oracle, SAP HANA, DB2UDB, Elastic, Mongo, Netesza, Teradata, Postgresql</t>
  </si>
  <si>
    <t>No se dispone de despliegue de BBDD en Alta Disponibilidad.</t>
  </si>
  <si>
    <t>Alta Disponibilidad de BBDD distribuida entre CPDs, soportando cada uno de ellos el 100% de la carga y disponiendo de un tercer CPD como contingencia.</t>
  </si>
  <si>
    <t>HA Servidores de APP</t>
  </si>
  <si>
    <t>Alta Disponibilidad App Server WAS y JBOSS, permitiendo dar servicio ante la caída de un nodo de Servidor de Aplicaciones.</t>
  </si>
  <si>
    <t>No se dispone de despliegue de App Server en Alta Disponibilidad.</t>
  </si>
  <si>
    <t>Alta Disponibilidad de App Server distribuida entre CPDs, soportando cada uno de ellos el 100% de la carga y disponiendo de un tercer CPD como contingencia.</t>
  </si>
  <si>
    <t>RHA-018</t>
  </si>
  <si>
    <t>HA Almacenamiento</t>
  </si>
  <si>
    <t>Alta Disponibilidad almacenamiento (SAN, NAS, objetos,…)</t>
  </si>
  <si>
    <t>No se dispone de alta disponibilidad de las controladoras del almacenamiento corporativo.</t>
  </si>
  <si>
    <t>Se dispone de almacenamiento con alta disponibilidad de controladoras, estando situadas en diferentes salas o CPDs.</t>
  </si>
  <si>
    <t>HA entorno VMWare, Hyper-V, OpenStack, LPAR y LDOM.</t>
  </si>
  <si>
    <t>Alta Disponibilidad de infraestructura de virtualización</t>
  </si>
  <si>
    <t>No se dispone de alta disponibilidad en la infraestructura de virtualización</t>
  </si>
  <si>
    <t>Sí se dispone de alta disponibilidad en la infraestructura de virtualización, soportando la caída de N nodos (a definir)</t>
  </si>
  <si>
    <t>HA Comunicaciones y Seguridad</t>
  </si>
  <si>
    <t>Alta Disponibilidad en Firewalls, Switches, Balanceadores, IPS,…</t>
  </si>
  <si>
    <t>Elementos de comunicación/seguridad con SPOF</t>
  </si>
  <si>
    <t>Firewall en clúster Activo/Activo, y de distinta tecnología en las distintas capas. 
El resto de elementos también se encuentran en HA.</t>
  </si>
  <si>
    <t>HA Comunicaciones SAN</t>
  </si>
  <si>
    <t>Alta Disponibilidad Comunicaciones SAN</t>
  </si>
  <si>
    <t>Un solo camino fibra o internet</t>
  </si>
  <si>
    <t>Multipath en los caminos de fibra o Ethernet, no existiendo puntos únicos de fallo (dobles switches, doble HBA, doble controladora almacenamiento, etc.).</t>
  </si>
  <si>
    <t>HA de computación en AWS</t>
  </si>
  <si>
    <t>Alta disponibilidad de los componentes de computación desplegados en AWS (EC2, ECS, AWS Lambda, …).</t>
  </si>
  <si>
    <t>No se dispone de alta disponibilidad.</t>
  </si>
  <si>
    <t>Para servicios globales críticos se dispone de activo/activo con deslocalización geográfica por regiones y acceso con balanceo de carga  en función del origen de la petición.
Para resto de servicios activo/activo con los nodos ubicados en distintas zonas de disponibilidad y acceso con balanceo de carga.</t>
  </si>
  <si>
    <t>HA de almacenamiento en AWS</t>
  </si>
  <si>
    <t>Alta disponibilidad de los servicios de almacenamiento en AWS (S3, EBS, EFS, Glacier).</t>
  </si>
  <si>
    <t>Almacenamiento diseñado para proporcionar una disponibilidad de al menos 99,999%.</t>
  </si>
  <si>
    <t>Escalabilidad horizontal y vertical</t>
  </si>
  <si>
    <t>Capacidad de la arquitectura para adaptarse a las necesidades de rendimiento, evitando la degradación de los servicios a medida que aumenta la demanda de recursos.
Verticalmente, mediante el aumento de recursos HW en un mismo nodo y horizontalmente aumentando el número de nodos trabajando en paralelo repartiéndose la carga entre los mismos</t>
  </si>
  <si>
    <t>No se dispone de capacidad de escalado.</t>
  </si>
  <si>
    <t>Se dispone de procedimientos automáticos de escalado tanto horizontal como vertical.</t>
  </si>
  <si>
    <t>Balanceo de carga</t>
  </si>
  <si>
    <t>Existen infraestructuras para el balanceo de carga.</t>
  </si>
  <si>
    <t>Existe una mayoría de aplicaciones sin balanceo de carga.</t>
  </si>
  <si>
    <t>Todas las aplicaciones disponen de balanceo de carga con criterios inteligentes.</t>
  </si>
  <si>
    <t>Clusterización Aplicaciones y Productos</t>
  </si>
  <si>
    <t>Existen  balanceos de carga inteligentes entre uno o varios nodos donde se ejecute la aplicación de forma concurrente (activo-activo).</t>
  </si>
  <si>
    <t>No existe balanceo de carga inteligente</t>
  </si>
  <si>
    <t>Existe balanceo de carga inteligente con nodos desplegados al menos en dos Availability Zones diferentes</t>
  </si>
  <si>
    <t>028</t>
  </si>
  <si>
    <t>Actualización de la configuración en caliente</t>
  </si>
  <si>
    <t>Se dispone de mecanismos de configuración de las aplicaciones externos a las mismas.</t>
  </si>
  <si>
    <t>No existen mecanismos de configuración externos a las aplicaciones.</t>
  </si>
  <si>
    <t>Se dispone de mecanismos de configuración externos a las aplicaciones por entorno, que permiten las modificaciones en caliente de la configuración.</t>
  </si>
  <si>
    <t>029</t>
  </si>
  <si>
    <t>Multicanalidad</t>
  </si>
  <si>
    <t xml:space="preserve">Capacidad de las aplicaciones para ser accesibles desde distintos tipos de dispositivos </t>
  </si>
  <si>
    <t>Las aplicaciones no se encuentran preparadas para acceder a través de distintos tipos de dispositivos.</t>
  </si>
  <si>
    <t>Las aplicaciones pueden ser empleadas por cualquier tipo de dispositivo adaptándose perfectamente al mismo.</t>
  </si>
  <si>
    <t>030</t>
  </si>
  <si>
    <t>Alineamiento SLAs soluciones contratadas</t>
  </si>
  <si>
    <t>Alineamiento entre SLAs de disponibilidad del banco y SLAs de disponibilidad de soluciones contratadas</t>
  </si>
  <si>
    <t>No se percibe un alineamiento entre los SLAs de disponibilidad del banco y los presentados en las soluciones contratadas.</t>
  </si>
  <si>
    <t>Las soluciones contratadas tienen SLAs alineados con los objetivos del banco.</t>
  </si>
  <si>
    <t>031</t>
  </si>
  <si>
    <t>032</t>
  </si>
  <si>
    <t>033</t>
  </si>
  <si>
    <t>Infraestructura independiente</t>
  </si>
  <si>
    <t>Grado de independencia de la arquitectura del canal</t>
  </si>
  <si>
    <t>La infraestructura es compartida por varios canales.</t>
  </si>
  <si>
    <t>Cada canal tiene una infraestructura independiente (incluyendo los componentes críticos: BBDD, LDAP, Enlaces de comunicación, WebServer, Servidor de aplicación, etc)</t>
  </si>
  <si>
    <t>Quality Monitoring</t>
  </si>
  <si>
    <t>Existencia de herramientas implantadas para la monitorización de calidad de servicio. Definición de SLAs y nivel de cumplimiento de los mismos. Existencia de mapeo de elementos de arquitectura con la funcionalidad que se ejecute.</t>
  </si>
  <si>
    <t>No existen herramientas implantadas para la monitorización de cumplimiento de SLAs.</t>
  </si>
  <si>
    <t>Existe una herramienta online en la cual se visualiza el cumplimiento de los SLAs en tiempo real. Análisis de impacto en negocio.</t>
  </si>
  <si>
    <t>REO-003</t>
  </si>
  <si>
    <t>Customer Experience</t>
  </si>
  <si>
    <t>Existencia de herramientas para la monitorización de experiencia de usuario. Elaboración de informes de tasas de abandono.</t>
  </si>
  <si>
    <t>No se registran acciones de usuario.</t>
  </si>
  <si>
    <t>Se registra una trazabilidad completa de la navegación del usuario. Se monitoriza en tiempo real la experiencia de los usuarios y se realizan catalogaciones según dispositivo usado, ubicación etc. Análisis de impacto del mal rendimiento.</t>
  </si>
  <si>
    <t>Monitorización proactiva</t>
  </si>
  <si>
    <t>Existencia de herramientas y procedimientos eficaces para poder prever los fallos en las aplicaciones y realizar acciones preventivas para evitar incidencias.</t>
  </si>
  <si>
    <t>No se utilizan herramientas para la monitorización proactiva.</t>
  </si>
  <si>
    <t>Se utiliza una herramienta estándar que monitoriza de forma proactiva todos los componentes de la arquitectura, además, esta monitorización se realiza de forma automática.</t>
  </si>
  <si>
    <t>Monitorización predictiva</t>
  </si>
  <si>
    <t>Análisis de comportamiento, autoaprendizaje, correlación e identificación de irregularidades e incidencias potenciales.</t>
  </si>
  <si>
    <t>No existen herramientas para la monitorización predictiva</t>
  </si>
  <si>
    <t>Existen herramientas para realizar de forma efectiva una monitorización predictiva sobre cualquier componente y es capaz de simular escenarios y analizar tendencias.</t>
  </si>
  <si>
    <t>Monitorización soluciones SaaS</t>
  </si>
  <si>
    <t>Existencia de herramientas para la monitorización del estado de los servicios desde la Sala de Operación. Las soluciones SaaS han de cumplir los estándares mínimos de monitorización exigidos por la compañía.</t>
  </si>
  <si>
    <t>Las soluciones SaaS permiten una monitorización de caja negra de sus componentes.</t>
  </si>
  <si>
    <t>Las soluciones SaaS permiten una monitorización de caja blanca.</t>
  </si>
  <si>
    <t>Monitorización de Uso</t>
  </si>
  <si>
    <t>Capacidad de disponer de información útil de los accesos a los componentes (cantidad, origen, público, etc..) que pueda explotarse para determinar mejoras en los mismos mediante redimensionamiento de infraestructuras y/o nuevas estrategias de evolución de los componentes.</t>
  </si>
  <si>
    <t>No se realiza  monitorización del uso de los componentes.</t>
  </si>
  <si>
    <t xml:space="preserve">Se monitoriza, de forma unificada y automatizada e integrada con los sistemas, el uso de componentes mediante herramientas de monitorización. </t>
  </si>
  <si>
    <t>Log Repository</t>
  </si>
  <si>
    <t xml:space="preserve">Disponibilidad de logs ubicados en repositorios centralizados, securizados, mantenidos y accesibles. </t>
  </si>
  <si>
    <t>No existe un repositorio de logs centralizado.</t>
  </si>
  <si>
    <t>Se dispone de un repositorio específico de logs, eventos y alertas accesible, tanto de procesos on-line como batch en tiempo real y con histórico. Este repositorio debe estar securizado y las trazas de log consolidadas con fechas en UTC. Además es de tipo Log Stream. Los logs están centralizados, normalizados y disponibles. No se imprimen logs por consola. Si existen logs en filesystem deben disponer de una política de rotación.</t>
  </si>
  <si>
    <t>Gestión de Incidencias</t>
  </si>
  <si>
    <t>Existencia de un procedimiento eficaz para la gestión de incidencias y su resolución.</t>
  </si>
  <si>
    <t>No existe un procedimiento de gestión de incidencias.</t>
  </si>
  <si>
    <t>Existe una herramienta de gestión de incidencias conectada con la CMDB donde se pueden catalogar (Negocio o TI), documentar, historificar y notificar a los responsables o equipos afectados. Detección de recurrencia de incidencias y existencia de protocolos de actuación ante las mismas. Existencia de APIs para poder interactuar de forma programática. Protocolo y matriz de escalado. Modelo de operación del canal.</t>
  </si>
  <si>
    <t>Análisis postmortem</t>
  </si>
  <si>
    <t>Existencia de herramientas y procedimientos eficaces para realizar análisis postmortem (impacto, resolución realizada)</t>
  </si>
  <si>
    <t>No existe análisis postmortem</t>
  </si>
  <si>
    <t>Existe análisis postmortem para el análisis de todas las incidencias que no se han podido evitar. Existe una herramienta para clasificar, publicar y hacer seguimiento de los postmortems.</t>
  </si>
  <si>
    <t>Gestión de Problemas</t>
  </si>
  <si>
    <t>Herramientas y protocolos para diagnosticar la causa de incidentes críticos o de gran impacto, potencial o recurrente.</t>
  </si>
  <si>
    <t>No se tienen herramientas ni procedimientos para diagnosticar la causa de problemas</t>
  </si>
  <si>
    <t>Se tienen herramientas y procedimientos para identificar causas a problemas y planear tareas para solventarlos. Se hace uso de técnicas de análisis de problemas: Ishikawa, Análisis de Pareto, 5why</t>
  </si>
  <si>
    <t>Auto-remediación</t>
  </si>
  <si>
    <t>Existencia de herramientas para la autorremediación de incidencias. Protocolo de actuación que notifique la existencia y resolución de incidencias en el entorno de producción.</t>
  </si>
  <si>
    <t>No existen mecanismos o herramientas de autorremediación de incidencias.</t>
  </si>
  <si>
    <t>Existen mecanismos y/o herramientas para la autorremediación de incidencias para aquellas incidencias en las que es posible ejecutar una autorremediación.</t>
  </si>
  <si>
    <t>Gestión de eventos y alertas</t>
  </si>
  <si>
    <t>Gestión de eventos y alertas producidos por Hardware y Software.</t>
  </si>
  <si>
    <t>No existe gestión de eventos y alertas.</t>
  </si>
  <si>
    <t>Existe una herramienta centralizada para la recepción de eventos y alertas. Deben de estar definidos con un sello de tiempo. Pueden ser silenciados durante un periodo de tiempo y gestionados por Sala de Operación como primer nivel. Además para cada evento debe existir un “Runbook” o protocolo de actuación.</t>
  </si>
  <si>
    <t>Correlación de eventos, logs y métricas</t>
  </si>
  <si>
    <t>Capacidad para correlar  eventos, logs y métricas en tiempo real para poder dar un valor añadido y fomentar el uso por ‘Data Scientists’</t>
  </si>
  <si>
    <t>No existe ninguna herramienta para correlar  eventos, logs y métricas.</t>
  </si>
  <si>
    <t>Existe una herramienta de correlación de  eventos, logs y métricas en tiempo real por la que se puede monitorizar y usar para toma de decisiones.</t>
  </si>
  <si>
    <t>Pruebas post-despliegue</t>
  </si>
  <si>
    <t>Realización de pruebas en el entorno de producción.</t>
  </si>
  <si>
    <t>No se realizan pruebas en el entorno de Producción.</t>
  </si>
  <si>
    <t xml:space="preserve">Se realizan pruebas de Friends &amp; Family o Canary Test en el entorno de Producción. </t>
  </si>
  <si>
    <t>Pruebas de Chaos-Engineering</t>
  </si>
  <si>
    <t>Se realizan pruebas de chaos-engineering</t>
  </si>
  <si>
    <t>No se realizan pruebas de chaos-engineering</t>
  </si>
  <si>
    <t>Sí se realizan pruebas de chaos-engineering</t>
  </si>
  <si>
    <t>Configuración centralizada</t>
  </si>
  <si>
    <t>El sistema está diseñado para recoger la configuración de un único punto</t>
  </si>
  <si>
    <t>No existe un diseño de configuración centralizada</t>
  </si>
  <si>
    <t>El sistema está diseñado para recoger información de un punto central. Además las configuraciones son generales y un cambio afecta a todos los componentes que la usen.</t>
  </si>
  <si>
    <t>Herramientas para mantenimiento de la CMDB</t>
  </si>
  <si>
    <t>Existen herramientas para el registro de los CIs y las relaciones entre ellos</t>
  </si>
  <si>
    <t>No se utilizan herramientas para el registro de Cis</t>
  </si>
  <si>
    <t>Existe un responsable único del mantenimiento de la CMDB, verificando que se registra en ésta la información relativa a los CIs, las relaciones entre CIs y las relaciones con incidencias, problemas o cambios, con el fin de detectar obsolescencias y realizar análisis de impacto.</t>
  </si>
  <si>
    <t>Políticas de auditoría de componentes</t>
  </si>
  <si>
    <t>Existencia de políticas de auditoría de los componentes de la arquitectura</t>
  </si>
  <si>
    <t>No existen políticas de auditoría de los componentes de la arquitectura.</t>
  </si>
  <si>
    <t>Existen políticas de auditoría periódica de los componentes de la arquitectura, identificando componentes homologados/no homologados y posibles planes de migración.</t>
  </si>
  <si>
    <t>034</t>
  </si>
  <si>
    <t>035</t>
  </si>
  <si>
    <t>Gestión mantenimientos</t>
  </si>
  <si>
    <t>Disponibilidad de contratos de mantenimiento de los diferentes elementos, tanto software como hardware que componen la infraestructura.</t>
  </si>
  <si>
    <t>No se dispone de contratos de mantenimiento.</t>
  </si>
  <si>
    <t>Se dispone de contratos de mantenimiento y soporte para todos los elementos de la infraestructura, no existiendo elementos fuera de soporte, así como de una herramienta para la gestión de los mismos, conectada con la CMDB y con herramientas de descubrimiento del SW o HW desplegado</t>
  </si>
  <si>
    <t>036</t>
  </si>
  <si>
    <t>Redundancia de datos</t>
  </si>
  <si>
    <t>Redundancia de los datos.</t>
  </si>
  <si>
    <t>Existe una única copia del dato</t>
  </si>
  <si>
    <t>Existen copias distribuidas en diferentes nodos y el RTO es 0 ante la caída de un nodo (de aplicación o de base de datos). Aplica a todas las tipologías de datos.</t>
  </si>
  <si>
    <t>037</t>
  </si>
  <si>
    <t>Mecanismos parada ordenada</t>
  </si>
  <si>
    <t>Existencia de protocolos de parada ordenada de sistemas y coordinación entre los equipos de producción y el proyecto.</t>
  </si>
  <si>
    <t>No existen mecanismos de parada ordenada de los sistemas en una mayoría de las soluciones.</t>
  </si>
  <si>
    <t>Existen paradas de servicio planificadas y alineadas con las ventanas de disponibilidad de la solución global del banco en todas las soluciones. Estas paradas se ejecutan de forma automatizada (vía script). Además se tienen mecanismos de arranque ordenado para poder devolverlo a la normalidad.</t>
  </si>
  <si>
    <t>038</t>
  </si>
  <si>
    <t>Reinicio sin pérdida disponibilidad</t>
  </si>
  <si>
    <t>Existencia de mecanismos de reinicio sin pérdida de disponibilidad</t>
  </si>
  <si>
    <t>No existen mecanismos de reinicio sin pérdida de disponibilidad en la mayor parte de las soluciones.</t>
  </si>
  <si>
    <t>Existen mecanismos de reinicio sin pérdida de la disponibilidad en todas las soluciones.</t>
  </si>
  <si>
    <t>039</t>
  </si>
  <si>
    <t>040</t>
  </si>
  <si>
    <t>Backup en caliente</t>
  </si>
  <si>
    <t>Tipo de backup realizado en cuanto al impacto sobre la fuente de los datos, desde backup en frío hasta backup en caliente.</t>
  </si>
  <si>
    <t>No se realiza backup.</t>
  </si>
  <si>
    <t>Existen políticas de backup y restore. Se realiza backup en caliente, no impactando en la operativa de producción.</t>
  </si>
  <si>
    <t>041</t>
  </si>
  <si>
    <t>042</t>
  </si>
  <si>
    <t>043</t>
  </si>
  <si>
    <t>044</t>
  </si>
  <si>
    <t>045</t>
  </si>
  <si>
    <t>046</t>
  </si>
  <si>
    <t>Foto técnica y funcional del canal</t>
  </si>
  <si>
    <t>Disposición de fotos técnica y funcional completas del canal.</t>
  </si>
  <si>
    <t>No existen fotos técnicas ni funcionales del canal</t>
  </si>
  <si>
    <t>Existe un mapa técnico y funcional completo y actualizado del canal, incluyendo el detalle de las operativas críticas.</t>
  </si>
  <si>
    <t>047</t>
  </si>
  <si>
    <t>REO-047</t>
  </si>
  <si>
    <t>Configuración de Logs</t>
  </si>
  <si>
    <t>Debe existir un nivel suficiente de traza que permita el análisis a partir de los logs.</t>
  </si>
  <si>
    <t>No hay un nivel suficiente de traza para permitir el análisis</t>
  </si>
  <si>
    <t>Sí se dispone de un nivel suficiente de traza que permita el análisis. Existe una política que establece un formato común para todos los logs (formato y nivel de alertado).</t>
  </si>
  <si>
    <t>Deviation of planned budget</t>
  </si>
  <si>
    <t>The deviation of the planned budget (cost) is the difference in costs between the planned baseline against the actual budget. Actual value – Budget value / Budget value</t>
  </si>
  <si>
    <t>Deviation of planned time schedule for project/program</t>
  </si>
  <si>
    <t>The deviation of the planned time schedule is the difference in time between the planned baseline against the actual schedule.</t>
  </si>
  <si>
    <t>Deviation of planned hours of work</t>
  </si>
  <si>
    <t>The deviation of the planned work is the difference in work hours between the planned baseline against the actual statement of work.</t>
  </si>
  <si>
    <t>% of overdue project tasks</t>
  </si>
  <si>
    <t>Percentage of overdue project tasks.</t>
  </si>
  <si>
    <t>% of FTE actually working on project that were not initially assigned</t>
  </si>
  <si>
    <t>Percentage of FTE actually working on project that were not initially assigned.</t>
  </si>
  <si>
    <t>% of milestones missed</t>
  </si>
  <si>
    <t>Percentage of milestones as recorded in all projects/programs that have been missed.</t>
  </si>
  <si>
    <t>Deviation of planned ROI</t>
  </si>
  <si>
    <t>The deviation of the planned Return on Investment (ROI) is the difference between Return on Investment in the planned baseline and the actual Return on Investment. ROI is the return an investment will generate annually as a percentage of the investment.</t>
  </si>
  <si>
    <t>% of lessons learnt sessions per registered projects before project close outs completed</t>
  </si>
  <si>
    <t>As part of project close out, a lessons learnt session should be held. This to incorporate mistakes and failures in a project with the main aim to prevent this from happening in future projects
0-25 % – Not Acceptable
26-50 % – Acceptable
51-70 % – Good
71-100 % – Exceptional</t>
  </si>
  <si>
    <t>Project issue queue rate</t>
  </si>
  <si>
    <t>The number of project issues closed, relative to the number of project issues opened in a given time period.</t>
  </si>
  <si>
    <t>Average number of milestones per project plan</t>
  </si>
  <si>
    <t>To bring focus in managing the project the project plan is better if the number of milestones are balanced.
Good: &gt; 5 # milestones
Average: &gt; 15 milestones &lt; 25 milestones
Poor: &gt; 25 milestones
Large projects with over 25 products should be splitted into subprojects (with a separate plan).</t>
  </si>
  <si>
    <t>&gt;25</t>
  </si>
  <si>
    <t>% of assigned FTE actually working on project</t>
  </si>
  <si>
    <t>Percentage of FTE assigned to project actually working on project/program. It is the percentage of assigned FTE that are actual registering time for project.</t>
  </si>
  <si>
    <t>% of time coordinating project</t>
  </si>
  <si>
    <t>Percentage of time (in labour hours) used to coordinate project relative to all time used to implement (and coordinate) project.</t>
  </si>
  <si>
    <t>Deviation of planned break-even time</t>
  </si>
  <si>
    <t>The deviation of the planned break-even time is the difference in time between the planned baseline against the actual break-even time. The break-even time is determined by the point where the business expenses equal the income generated, with neither profit nor loss.</t>
  </si>
  <si>
    <t>Deviation of net present value (NPV)</t>
  </si>
  <si>
    <t>The deviation of the planned net present value (NPV) is the difference in value between the planned baseline against the actual net present value. NPV is a method used in discounted cash flow analysis to find the sum of money representing the difference between the present value of all inflows and outflows of cash associated with the project by discounting each at a target yield.</t>
  </si>
  <si>
    <t>Cost of managing processes</t>
  </si>
  <si>
    <t>Periodic costs of managing processes, usually based on the number of Full Time Equivalents (FTEs) involved in management functions for processes.</t>
  </si>
  <si>
    <t>Budgeted Cost of Work Scheduled (BCWS)</t>
  </si>
  <si>
    <t>The budgets of the activities that are planned or scheduled to be completed.
Another term for BCWP is “planned value”.</t>
  </si>
  <si>
    <t>Number of milestones missed</t>
  </si>
  <si>
    <t>Number of milestones of project missed.</t>
  </si>
  <si>
    <t>Actual Cost of Work Performed (ACWP)</t>
  </si>
  <si>
    <t>The sum of actual costs of activities that are completed.</t>
  </si>
  <si>
    <t>Requisition to item issuance time</t>
  </si>
  <si>
    <t>To measure the delay between the time when a procurement request is initiated and the time when the request is fulfilled (expressed in terms of days).</t>
  </si>
  <si>
    <t>Number of non conformities during vendor inspection</t>
  </si>
  <si>
    <t>Number of non conformities during inspection against a particular vendor. To measure the performance of different vendors.</t>
  </si>
  <si>
    <t># planned hours per task</t>
  </si>
  <si>
    <t>A good project plan contains a good balance between administrative effort and ability to manage. The average task (defined as the lowest level of the work breakdown structure) in a project plan is a item that takes approximately 40-200 hours to finish.
Best: Between 40-200 hours
Average: Between 20-40 hours or more than 500 hours
Poor: Less than 20 hours or more than 500 hours</t>
  </si>
  <si>
    <t>&gt;500</t>
  </si>
  <si>
    <t>Estimate at Completion (EAC)</t>
  </si>
  <si>
    <t>The actual cost of work performed (ACWP) plus the estimate to complete (ETC) for all of the remaining work.</t>
  </si>
  <si>
    <t>Number of unstaffed hours</t>
  </si>
  <si>
    <t>Number of hours planned (per program or project) with no resources assigned to perform the work.</t>
  </si>
  <si>
    <t>Cost Schedule Index (CSI)</t>
  </si>
  <si>
    <t>Cost Performance Index times Schedule Performance Index (CPI x SPI). CSI measures the likelihood of recovery for project that is late and/or over budget.</t>
  </si>
  <si>
    <t>Budgeted Cost of Work Performed (BCWP) or Earned Value</t>
  </si>
  <si>
    <t>The planned or scheduled cost of activities that are completed.
Another term for BCWP is “earned value”.</t>
  </si>
  <si>
    <t>Schedule Variance (SV)</t>
  </si>
  <si>
    <t>Earned Value minus the planned budget for the completed work (BCWP-BCWS).</t>
  </si>
  <si>
    <t>Cost Variance (CV)</t>
  </si>
  <si>
    <t>Earned Value minus the actual cost (BCWP-ACWP).</t>
  </si>
  <si>
    <t>Cost Performance Index (CPI)</t>
  </si>
  <si>
    <t>Earned Value divided by the actual cost (BCWP/ACWP).</t>
  </si>
  <si>
    <t>Schedule Performance Index (SPI)</t>
  </si>
  <si>
    <t>Earned Value divided by the planned value (BCWP/BCWS).</t>
  </si>
  <si>
    <t>Number of new project/program issues</t>
  </si>
  <si>
    <t>Number of new project/program issues that have been administered within measurement period.</t>
  </si>
  <si>
    <t>Scope Performance Index</t>
  </si>
  <si>
    <t>This KPI measures hw healthy is the scope management of a certain project
This KPI is a fraction number around the unity (1), less than 1 is bad, higher than 1 is good</t>
  </si>
  <si>
    <t>% of customers given satisfaction surveys</t>
  </si>
  <si>
    <t>This one is important in any QMS, puts customer and his satisfaction in focus.</t>
  </si>
  <si>
    <t>Number of complaints</t>
  </si>
  <si>
    <t>Number of complaints received within the measurement period.</t>
  </si>
  <si>
    <t>% of outage due to changes (planned unavailability)</t>
  </si>
  <si>
    <t>Percentage of outage (unavailability) due to implementation of planned changes, relative to the service hours.</t>
  </si>
  <si>
    <t>Availability (excluding planned downtime)</t>
  </si>
  <si>
    <t>Percentage of actual uptime (in hours) of equipment relative to the total numbers of planned uptime (in hours).
Planned uptime = service hours – planned downtime
Planned downtime is downtime as scheduled for maintenance.
Also known as: Service Outage Duration</t>
  </si>
  <si>
    <t>First-call resolution rate</t>
  </si>
  <si>
    <t>Percentage of customer issues that were solved by the first phone call.</t>
  </si>
  <si>
    <t>Mean Time to Repair (MTTR)</t>
  </si>
  <si>
    <t>Average time (e.g. in hours) between the occurrence of an incident and its resolution.</t>
  </si>
  <si>
    <t>% incidents solved within SLA time</t>
  </si>
  <si>
    <t>Total number of incidents resolved within SLA time divided by the total number of incidents</t>
  </si>
  <si>
    <t>% of service requests resolved within an agreed-upon period of time</t>
  </si>
  <si>
    <t>Percentage of service requests resolved within an agreed-upon/acceptable period of time.</t>
  </si>
  <si>
    <t>Average number of calls / service request per handler</t>
  </si>
  <si>
    <t>Average number of calls / service requests per employee of call center / service desk within measurement period.</t>
  </si>
  <si>
    <t>% of budget deviation relative to total budget</t>
  </si>
  <si>
    <t>Percent of budget deviation value compared to the total budget.</t>
  </si>
  <si>
    <t>% of outage due to incidents (unplanned unavailability)</t>
  </si>
  <si>
    <t>Percentage of outage (unavailability) due to incidents in the IT environment, relative to the service hours.</t>
  </si>
  <si>
    <t>% of repeat incidents</t>
  </si>
  <si>
    <t>Percentage of incidents that can be classified as a repeat incident, relative to all reported incidents within the measurement period. A repeat incident is an incident that has already occured (multiple times) in the measurement period.</t>
  </si>
  <si>
    <t>% of unplanned outage/unavailability due to changes</t>
  </si>
  <si>
    <t>Percentage of unplanned outage (unavailability) due to the implementation of changes into the infrastructure. Unplanned means that the outage (or part of the outage) was not planned before implementation of the change.</t>
  </si>
  <si>
    <t>% of reopened service requests</t>
  </si>
  <si>
    <t>Percentage of closed service requests that have been reopened (and therefore initially not resolved according to the customer), relative to closed service requests within a given time period.</t>
  </si>
  <si>
    <t>% of incidents solved within deadline/target</t>
  </si>
  <si>
    <t>Number of incidents closed within the allowed duration time-frame, relative to the number of all incidents closed in a given time period. A duration time-frame is applied to each incident when it is received, and sets a limit on the amount of time available to resolve the incident. The applied duration time-frame is derived from the agreements made with the customer about resolving incidents.</t>
  </si>
  <si>
    <t>ITIL-016</t>
  </si>
  <si>
    <t>% of overdue service requests</t>
  </si>
  <si>
    <t>Number of overdue service requests (not closed and not solved within the established time frame) relative to the number of open (not closed) service requests.</t>
  </si>
  <si>
    <t>Average problem closure duration</t>
  </si>
  <si>
    <t>Average amount of time (e.g. in days) between the registration of problems and their closure.</t>
  </si>
  <si>
    <t>Average incident response time</t>
  </si>
  <si>
    <t>The average amount of time (e.g. in minutes) between the detection of an incident and the first action taken to repair the incident.</t>
  </si>
  <si>
    <t>Abandon rate of incoming phone calls</t>
  </si>
  <si>
    <t>Percentage of telephone calls abandoned by the caller while waiting to be answered.</t>
  </si>
  <si>
    <t>Average speed to answer phone call</t>
  </si>
  <si>
    <t>Average time (usually in seconds) it takes for a telephone call to be answered.</t>
  </si>
  <si>
    <t>% of calls answered within set timeframe</t>
  </si>
  <si>
    <t>Percentage of telephone calls answered within a definite timeframe, e.g. 80% in 20 seconds.</t>
  </si>
  <si>
    <t>First line service request closure rate</t>
  </si>
  <si>
    <t>Number of requests closed by the service desk, i.e. the first line support teams, relative to the number of all requests closed in a given time period. This reflects the skills and knowledge of the service desk personnel. This KPI can be used to monitor the learning curve of the service desk, but of course its usage is only meaningful if the goal is to have a skilled service desk.</t>
  </si>
  <si>
    <t>Service request queue rate</t>
  </si>
  <si>
    <t>The number of requests closed, relative to the number of requests opened in a given time period. So if the actual value for this KPI is less than 1, the volume of calls in the backlog is growing.</t>
  </si>
  <si>
    <t>% of urgent changes</t>
  </si>
  <si>
    <t>Number of opened, urgent changes relative to the total number of changes opened in a given time period. This KPI reflects the size of the potential risk of urgent changes on the quality and performance of the change management process.</t>
  </si>
  <si>
    <t>% of Service Desk Availabilty</t>
  </si>
  <si>
    <t>Calculation of the Service Desk Availiability over the Reporting Period.</t>
  </si>
  <si>
    <t>% of callers given satisfaction surveys</t>
  </si>
  <si>
    <t>The percentage of callers who took the satisfaction survey that follows a call.</t>
  </si>
  <si>
    <t>Average # of incidents handled by each first line operatives</t>
  </si>
  <si>
    <t>Average number of incidents that each first line operative is assigned to.</t>
  </si>
  <si>
    <t>% of service requests closed before deadline</t>
  </si>
  <si>
    <t>Percentage of service requests closed before deadline.</t>
  </si>
  <si>
    <t>Average incident closure duration</t>
  </si>
  <si>
    <t>Average amount of time between the registration of incidents and their closure.</t>
  </si>
  <si>
    <t>% of problems with a root cause identified</t>
  </si>
  <si>
    <t>% of problems with a root cause identified for the failure</t>
  </si>
  <si>
    <t>% of vendor services delivered without agreed service targets</t>
  </si>
  <si>
    <t>Percentage of vendor services delivered without agreed service targets.</t>
  </si>
</sst>
</file>

<file path=xl/styles.xml><?xml version="1.0" encoding="utf-8"?>
<styleSheet xmlns="http://schemas.openxmlformats.org/spreadsheetml/2006/main">
  <numFmts count="4">
    <numFmt numFmtId="42" formatCode="_(&quot;$&quot;* #,##0_);_(&quot;$&quot;* \(#,##0\);_(&quot;$&quot;* &quot;-&quot;_);_(@_)"/>
    <numFmt numFmtId="176" formatCode="_-* #,##0.00\ _€_-;\-* #,##0.00\ _€_-;_-* &quot;-&quot;??\ _€_-;_-@_-"/>
    <numFmt numFmtId="177" formatCode="_ * #,##0_ ;_ * \-#,##0_ ;_ * &quot;-&quot;_ ;_ @_ "/>
    <numFmt numFmtId="44" formatCode="_(&quot;$&quot;* #,##0.00_);_(&quot;$&quot;* \(#,##0.00\);_(&quot;$&quot;* &quot;-&quot;??_);_(@_)"/>
  </numFmts>
  <fonts count="24">
    <font>
      <sz val="11"/>
      <color theme="1"/>
      <name val="Calibri"/>
      <charset val="134"/>
      <scheme val="minor"/>
    </font>
    <font>
      <sz val="11"/>
      <color theme="0"/>
      <name val="Calibri"/>
      <charset val="134"/>
      <scheme val="minor"/>
    </font>
    <font>
      <b/>
      <sz val="9"/>
      <name val="Calibri"/>
      <charset val="134"/>
      <scheme val="minor"/>
    </font>
    <font>
      <b/>
      <sz val="11"/>
      <color theme="0"/>
      <name val="Calibri"/>
      <charset val="134"/>
      <scheme val="minor"/>
    </font>
    <font>
      <sz val="7"/>
      <color theme="1"/>
      <name val="Calibri"/>
      <charset val="134"/>
      <scheme val="minor"/>
    </font>
    <font>
      <sz val="11"/>
      <color theme="0"/>
      <name val="Calibri"/>
      <charset val="0"/>
      <scheme val="minor"/>
    </font>
    <font>
      <sz val="11"/>
      <color theme="1"/>
      <name val="Calibri"/>
      <charset val="0"/>
      <scheme val="minor"/>
    </font>
    <font>
      <sz val="11"/>
      <color rgb="FF9C0006"/>
      <name val="Calibri"/>
      <charset val="0"/>
      <scheme val="minor"/>
    </font>
    <font>
      <sz val="11"/>
      <color rgb="FFFF0000"/>
      <name val="Calibri"/>
      <charset val="0"/>
      <scheme val="minor"/>
    </font>
    <font>
      <b/>
      <sz val="11"/>
      <color rgb="FFFFFFFF"/>
      <name val="Calibri"/>
      <charset val="0"/>
      <scheme val="minor"/>
    </font>
    <font>
      <b/>
      <sz val="13"/>
      <color theme="3"/>
      <name val="Calibri"/>
      <charset val="134"/>
      <scheme val="minor"/>
    </font>
    <font>
      <b/>
      <sz val="11"/>
      <color rgb="FF3F3F3F"/>
      <name val="Calibri"/>
      <charset val="0"/>
      <scheme val="minor"/>
    </font>
    <font>
      <b/>
      <sz val="11"/>
      <color theme="3"/>
      <name val="Calibri"/>
      <charset val="134"/>
      <scheme val="minor"/>
    </font>
    <font>
      <b/>
      <sz val="18"/>
      <color theme="3"/>
      <name val="Calibri"/>
      <charset val="134"/>
      <scheme val="minor"/>
    </font>
    <font>
      <u/>
      <sz val="11"/>
      <color rgb="FF0000FF"/>
      <name val="Calibri"/>
      <charset val="0"/>
      <scheme val="minor"/>
    </font>
    <font>
      <sz val="11"/>
      <color rgb="FF9C6500"/>
      <name val="Calibri"/>
      <charset val="0"/>
      <scheme val="minor"/>
    </font>
    <font>
      <sz val="11"/>
      <color rgb="FFFA7D00"/>
      <name val="Calibri"/>
      <charset val="0"/>
      <scheme val="minor"/>
    </font>
    <font>
      <b/>
      <sz val="11"/>
      <color rgb="FFFA7D00"/>
      <name val="Calibri"/>
      <charset val="0"/>
      <scheme val="minor"/>
    </font>
    <font>
      <sz val="11"/>
      <color rgb="FF3F3F76"/>
      <name val="Calibri"/>
      <charset val="0"/>
      <scheme val="minor"/>
    </font>
    <font>
      <b/>
      <sz val="15"/>
      <color theme="3"/>
      <name val="Calibri"/>
      <charset val="134"/>
      <scheme val="minor"/>
    </font>
    <font>
      <b/>
      <sz val="11"/>
      <color theme="1"/>
      <name val="Calibri"/>
      <charset val="0"/>
      <scheme val="minor"/>
    </font>
    <font>
      <sz val="11"/>
      <color rgb="FF006100"/>
      <name val="Calibri"/>
      <charset val="0"/>
      <scheme val="minor"/>
    </font>
    <font>
      <i/>
      <sz val="11"/>
      <color rgb="FF7F7F7F"/>
      <name val="Calibri"/>
      <charset val="0"/>
      <scheme val="minor"/>
    </font>
    <font>
      <u/>
      <sz val="11"/>
      <color rgb="FF800080"/>
      <name val="Calibri"/>
      <charset val="0"/>
      <scheme val="minor"/>
    </font>
  </fonts>
  <fills count="34">
    <fill>
      <patternFill patternType="none"/>
    </fill>
    <fill>
      <patternFill patternType="gray125"/>
    </fill>
    <fill>
      <patternFill patternType="solid">
        <fgColor theme="1" tint="0.249977111117893"/>
        <bgColor indexed="64"/>
      </patternFill>
    </fill>
    <fill>
      <patternFill patternType="solid">
        <fgColor theme="4" tint="0.599993896298105"/>
        <bgColor indexed="64"/>
      </patternFill>
    </fill>
    <fill>
      <patternFill patternType="solid">
        <fgColor theme="8"/>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5"/>
        <bgColor indexed="64"/>
      </patternFill>
    </fill>
    <fill>
      <patternFill patternType="solid">
        <fgColor rgb="FFFFC7CE"/>
        <bgColor indexed="64"/>
      </patternFill>
    </fill>
    <fill>
      <patternFill patternType="solid">
        <fgColor rgb="FFA5A5A5"/>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theme="4"/>
        <bgColor indexed="64"/>
      </patternFill>
    </fill>
    <fill>
      <patternFill patternType="solid">
        <fgColor rgb="FFF2F2F2"/>
        <bgColor indexed="64"/>
      </patternFill>
    </fill>
    <fill>
      <patternFill patternType="solid">
        <fgColor theme="6" tint="0.799981688894314"/>
        <bgColor indexed="64"/>
      </patternFill>
    </fill>
    <fill>
      <patternFill patternType="solid">
        <fgColor theme="5" tint="0.799981688894314"/>
        <bgColor indexed="64"/>
      </patternFill>
    </fill>
    <fill>
      <patternFill patternType="solid">
        <fgColor rgb="FFFFEB9C"/>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5" tint="0.399975585192419"/>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rgb="FFFFCC99"/>
        <bgColor indexed="64"/>
      </patternFill>
    </fill>
    <fill>
      <patternFill patternType="solid">
        <fgColor rgb="FFFFFFCC"/>
        <bgColor indexed="64"/>
      </patternFill>
    </fill>
    <fill>
      <patternFill patternType="solid">
        <fgColor theme="9" tint="0.599993896298105"/>
        <bgColor indexed="64"/>
      </patternFill>
    </fill>
    <fill>
      <patternFill patternType="solid">
        <fgColor theme="7"/>
        <bgColor indexed="64"/>
      </patternFill>
    </fill>
    <fill>
      <patternFill patternType="solid">
        <fgColor theme="5" tint="0.599993896298105"/>
        <bgColor indexed="64"/>
      </patternFill>
    </fill>
    <fill>
      <patternFill patternType="solid">
        <fgColor theme="8" tint="0.599993896298105"/>
        <bgColor indexed="64"/>
      </patternFill>
    </fill>
    <fill>
      <patternFill patternType="solid">
        <fgColor rgb="FFC6EFCE"/>
        <bgColor indexed="64"/>
      </patternFill>
    </fill>
    <fill>
      <patternFill patternType="solid">
        <fgColor theme="6" tint="0.599993896298105"/>
        <bgColor indexed="64"/>
      </patternFill>
    </fill>
    <fill>
      <patternFill patternType="solid">
        <fgColor theme="9"/>
        <bgColor indexed="64"/>
      </patternFill>
    </fill>
    <fill>
      <patternFill patternType="solid">
        <fgColor theme="6"/>
        <bgColor indexed="64"/>
      </patternFill>
    </fill>
    <fill>
      <patternFill patternType="solid">
        <fgColor theme="4" tint="0.799981688894314"/>
        <bgColor indexed="64"/>
      </patternFill>
    </fill>
  </fills>
  <borders count="9">
    <border>
      <left/>
      <right/>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9">
    <xf numFmtId="0" fontId="0" fillId="0" borderId="0"/>
    <xf numFmtId="0" fontId="6" fillId="3" borderId="0" applyNumberFormat="0" applyBorder="0" applyAlignment="0" applyProtection="0">
      <alignment vertical="center"/>
    </xf>
    <xf numFmtId="176" fontId="0" fillId="0" borderId="0" applyFont="0" applyFill="0" applyBorder="0" applyAlignment="0" applyProtection="0"/>
    <xf numFmtId="177" fontId="0" fillId="0" borderId="0" applyFont="0" applyFill="0" applyBorder="0" applyAlignment="0" applyProtection="0">
      <alignment vertical="center"/>
    </xf>
    <xf numFmtId="42"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0" fontId="9" fillId="9" borderId="1" applyNumberFormat="0" applyAlignment="0" applyProtection="0">
      <alignment vertical="center"/>
    </xf>
    <xf numFmtId="0" fontId="10" fillId="0" borderId="2" applyNumberFormat="0" applyFill="0" applyAlignment="0" applyProtection="0">
      <alignment vertical="center"/>
    </xf>
    <xf numFmtId="0" fontId="0" fillId="24" borderId="7" applyNumberFormat="0" applyFont="0" applyAlignment="0" applyProtection="0">
      <alignment vertical="center"/>
    </xf>
    <xf numFmtId="0" fontId="14" fillId="0" borderId="0" applyNumberFormat="0" applyFill="0" applyBorder="0" applyAlignment="0" applyProtection="0">
      <alignment vertical="center"/>
    </xf>
    <xf numFmtId="0" fontId="5" fillId="18" borderId="0" applyNumberFormat="0" applyBorder="0" applyAlignment="0" applyProtection="0">
      <alignment vertical="center"/>
    </xf>
    <xf numFmtId="0" fontId="23" fillId="0" borderId="0" applyNumberFormat="0" applyFill="0" applyBorder="0" applyAlignment="0" applyProtection="0">
      <alignment vertical="center"/>
    </xf>
    <xf numFmtId="0" fontId="6" fillId="30" borderId="0" applyNumberFormat="0" applyBorder="0" applyAlignment="0" applyProtection="0">
      <alignment vertical="center"/>
    </xf>
    <xf numFmtId="0" fontId="8" fillId="0" borderId="0" applyNumberFormat="0" applyFill="0" applyBorder="0" applyAlignment="0" applyProtection="0">
      <alignment vertical="center"/>
    </xf>
    <xf numFmtId="0" fontId="6" fillId="27" borderId="0" applyNumberFormat="0" applyBorder="0" applyAlignment="0" applyProtection="0">
      <alignment vertical="center"/>
    </xf>
    <xf numFmtId="0" fontId="13"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0" borderId="2" applyNumberFormat="0" applyFill="0" applyAlignment="0" applyProtection="0">
      <alignment vertical="center"/>
    </xf>
    <xf numFmtId="0" fontId="12" fillId="0" borderId="4" applyNumberFormat="0" applyFill="0" applyAlignment="0" applyProtection="0">
      <alignment vertical="center"/>
    </xf>
    <xf numFmtId="0" fontId="12" fillId="0" borderId="0" applyNumberFormat="0" applyFill="0" applyBorder="0" applyAlignment="0" applyProtection="0">
      <alignment vertical="center"/>
    </xf>
    <xf numFmtId="0" fontId="18" fillId="23" borderId="6" applyNumberFormat="0" applyAlignment="0" applyProtection="0">
      <alignment vertical="center"/>
    </xf>
    <xf numFmtId="0" fontId="5" fillId="22" borderId="0" applyNumberFormat="0" applyBorder="0" applyAlignment="0" applyProtection="0">
      <alignment vertical="center"/>
    </xf>
    <xf numFmtId="0" fontId="21" fillId="29" borderId="0" applyNumberFormat="0" applyBorder="0" applyAlignment="0" applyProtection="0">
      <alignment vertical="center"/>
    </xf>
    <xf numFmtId="0" fontId="11" fillId="14" borderId="3" applyNumberFormat="0" applyAlignment="0" applyProtection="0">
      <alignment vertical="center"/>
    </xf>
    <xf numFmtId="0" fontId="6" fillId="33" borderId="0" applyNumberFormat="0" applyBorder="0" applyAlignment="0" applyProtection="0">
      <alignment vertical="center"/>
    </xf>
    <xf numFmtId="0" fontId="17" fillId="14" borderId="6" applyNumberFormat="0" applyAlignment="0" applyProtection="0">
      <alignment vertical="center"/>
    </xf>
    <xf numFmtId="0" fontId="16" fillId="0" borderId="5" applyNumberFormat="0" applyFill="0" applyAlignment="0" applyProtection="0">
      <alignment vertical="center"/>
    </xf>
    <xf numFmtId="0" fontId="20" fillId="0" borderId="8" applyNumberFormat="0" applyFill="0" applyAlignment="0" applyProtection="0">
      <alignment vertical="center"/>
    </xf>
    <xf numFmtId="0" fontId="7" fillId="8" borderId="0" applyNumberFormat="0" applyBorder="0" applyAlignment="0" applyProtection="0">
      <alignment vertical="center"/>
    </xf>
    <xf numFmtId="0" fontId="15" fillId="17" borderId="0" applyNumberFormat="0" applyBorder="0" applyAlignment="0" applyProtection="0">
      <alignment vertical="center"/>
    </xf>
    <xf numFmtId="0" fontId="5" fillId="13" borderId="0" applyNumberFormat="0" applyBorder="0" applyAlignment="0" applyProtection="0">
      <alignment vertical="center"/>
    </xf>
    <xf numFmtId="0" fontId="6" fillId="21" borderId="0" applyNumberFormat="0" applyBorder="0" applyAlignment="0" applyProtection="0">
      <alignment vertical="center"/>
    </xf>
    <xf numFmtId="0" fontId="5" fillId="12" borderId="0" applyNumberFormat="0" applyBorder="0" applyAlignment="0" applyProtection="0">
      <alignment vertical="center"/>
    </xf>
    <xf numFmtId="0" fontId="5" fillId="7" borderId="0" applyNumberFormat="0" applyBorder="0" applyAlignment="0" applyProtection="0">
      <alignment vertical="center"/>
    </xf>
    <xf numFmtId="0" fontId="6" fillId="16" borderId="0" applyNumberFormat="0" applyBorder="0" applyAlignment="0" applyProtection="0">
      <alignment vertical="center"/>
    </xf>
    <xf numFmtId="0" fontId="6" fillId="11" borderId="0" applyNumberFormat="0" applyBorder="0" applyAlignment="0" applyProtection="0">
      <alignment vertical="center"/>
    </xf>
    <xf numFmtId="0" fontId="5" fillId="20" borderId="0" applyNumberFormat="0" applyBorder="0" applyAlignment="0" applyProtection="0">
      <alignment vertical="center"/>
    </xf>
    <xf numFmtId="0" fontId="5" fillId="32" borderId="0" applyNumberFormat="0" applyBorder="0" applyAlignment="0" applyProtection="0">
      <alignment vertical="center"/>
    </xf>
    <xf numFmtId="0" fontId="6" fillId="15" borderId="0" applyNumberFormat="0" applyBorder="0" applyAlignment="0" applyProtection="0">
      <alignment vertical="center"/>
    </xf>
    <xf numFmtId="0" fontId="5" fillId="26" borderId="0" applyNumberFormat="0" applyBorder="0" applyAlignment="0" applyProtection="0">
      <alignment vertical="center"/>
    </xf>
    <xf numFmtId="0" fontId="6" fillId="6" borderId="0" applyNumberFormat="0" applyBorder="0" applyAlignment="0" applyProtection="0">
      <alignment vertical="center"/>
    </xf>
    <xf numFmtId="0" fontId="6" fillId="10" borderId="0" applyNumberFormat="0" applyBorder="0" applyAlignment="0" applyProtection="0">
      <alignment vertical="center"/>
    </xf>
    <xf numFmtId="0" fontId="5" fillId="4" borderId="0" applyNumberFormat="0" applyBorder="0" applyAlignment="0" applyProtection="0">
      <alignment vertical="center"/>
    </xf>
    <xf numFmtId="0" fontId="6" fillId="28" borderId="0" applyNumberFormat="0" applyBorder="0" applyAlignment="0" applyProtection="0">
      <alignment vertical="center"/>
    </xf>
    <xf numFmtId="0" fontId="5" fillId="5" borderId="0" applyNumberFormat="0" applyBorder="0" applyAlignment="0" applyProtection="0">
      <alignment vertical="center"/>
    </xf>
    <xf numFmtId="0" fontId="5" fillId="31" borderId="0" applyNumberFormat="0" applyBorder="0" applyAlignment="0" applyProtection="0">
      <alignment vertical="center"/>
    </xf>
    <xf numFmtId="0" fontId="6" fillId="25" borderId="0" applyNumberFormat="0" applyBorder="0" applyAlignment="0" applyProtection="0">
      <alignment vertical="center"/>
    </xf>
    <xf numFmtId="0" fontId="5" fillId="19" borderId="0" applyNumberFormat="0" applyBorder="0" applyAlignment="0" applyProtection="0">
      <alignment vertical="center"/>
    </xf>
  </cellStyleXfs>
  <cellXfs count="21">
    <xf numFmtId="0" fontId="0" fillId="0" borderId="0" xfId="0"/>
    <xf numFmtId="0" fontId="1" fillId="2" borderId="0" xfId="0" applyFont="1" applyFill="1"/>
    <xf numFmtId="0" fontId="2" fillId="3" borderId="0" xfId="0" applyFont="1" applyFill="1" applyAlignment="1">
      <alignment vertical="center"/>
    </xf>
    <xf numFmtId="0" fontId="0" fillId="0" borderId="0" xfId="0" applyAlignment="1">
      <alignment vertical="center"/>
    </xf>
    <xf numFmtId="0" fontId="0" fillId="0" borderId="0" xfId="0" applyAlignment="1">
      <alignment horizontal="center" vertical="center"/>
    </xf>
    <xf numFmtId="0" fontId="0" fillId="0" borderId="0" xfId="0" applyAlignment="1">
      <alignment vertical="center" wrapText="1"/>
    </xf>
    <xf numFmtId="0" fontId="3" fillId="2" borderId="0" xfId="0" applyFont="1" applyFill="1" applyAlignment="1">
      <alignment vertical="center"/>
    </xf>
    <xf numFmtId="0" fontId="1" fillId="2" borderId="0" xfId="0" applyFont="1" applyFill="1" applyAlignment="1">
      <alignment horizontal="center" vertical="center"/>
    </xf>
    <xf numFmtId="0" fontId="1" fillId="2" borderId="0" xfId="0" applyFont="1" applyFill="1" applyAlignment="1">
      <alignment vertical="center"/>
    </xf>
    <xf numFmtId="0" fontId="1" fillId="2" borderId="0" xfId="0" applyFont="1" applyFill="1" applyAlignment="1">
      <alignment horizontal="left" vertical="center" wrapText="1"/>
    </xf>
    <xf numFmtId="0" fontId="2" fillId="3" borderId="0" xfId="0" applyFont="1" applyFill="1" applyAlignment="1">
      <alignment horizontal="center" vertical="center"/>
    </xf>
    <xf numFmtId="0" fontId="4" fillId="0" borderId="0" xfId="0" applyFont="1" applyAlignment="1">
      <alignment vertical="center"/>
    </xf>
    <xf numFmtId="49" fontId="4" fillId="0" borderId="0" xfId="2" applyNumberFormat="1" applyFont="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center" wrapText="1"/>
    </xf>
    <xf numFmtId="0" fontId="4" fillId="0" borderId="0" xfId="0" applyNumberFormat="1" applyFont="1" applyAlignment="1">
      <alignment horizontal="center" vertical="center"/>
    </xf>
    <xf numFmtId="0" fontId="0" fillId="0" borderId="0" xfId="0" applyAlignment="1">
      <alignment horizontal="center"/>
    </xf>
    <xf numFmtId="0" fontId="1" fillId="2" borderId="0" xfId="0" applyFont="1" applyFill="1" applyAlignment="1">
      <alignment vertical="center" wrapText="1"/>
    </xf>
    <xf numFmtId="0" fontId="3" fillId="4" borderId="0" xfId="0" applyFont="1" applyFill="1" applyAlignment="1">
      <alignment vertical="center"/>
    </xf>
    <xf numFmtId="0" fontId="3" fillId="4" borderId="0" xfId="0" applyFont="1" applyFill="1" applyAlignment="1">
      <alignment horizontal="center" vertical="center"/>
    </xf>
  </cellXfs>
  <cellStyles count="49">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Check Cell" xfId="7" builtinId="23"/>
    <cellStyle name="Heading 2" xfId="8" builtinId="17"/>
    <cellStyle name="Note" xfId="9" builtinId="10"/>
    <cellStyle name="Hyperlink" xfId="10" builtinId="8"/>
    <cellStyle name="60% - Accent4" xfId="11" builtinId="44"/>
    <cellStyle name="Followed Hyperlink" xfId="12" builtinId="9"/>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Heading 4" xfId="20" builtinId="19"/>
    <cellStyle name="Input" xfId="21" builtinId="20"/>
    <cellStyle name="60% - Accent3" xfId="22" builtinId="40"/>
    <cellStyle name="Good" xfId="23" builtinId="26"/>
    <cellStyle name="Output" xfId="24" builtinId="21"/>
    <cellStyle name="20% - Accent1" xfId="25" builtinId="30"/>
    <cellStyle name="Calculation" xfId="26" builtinId="22"/>
    <cellStyle name="Linked Cell" xfId="27" builtinId="24"/>
    <cellStyle name="Total" xfId="28" builtinId="25"/>
    <cellStyle name="Bad" xfId="29" builtinId="27"/>
    <cellStyle name="Neutral" xfId="30" builtinId="28"/>
    <cellStyle name="Accent1" xfId="31" builtinId="29"/>
    <cellStyle name="20% - Accent5" xfId="32" builtinId="46"/>
    <cellStyle name="60% - Accent1" xfId="33" builtinId="32"/>
    <cellStyle name="Accent2" xfId="34" builtinId="33"/>
    <cellStyle name="20% - Accent2" xfId="35" builtinId="34"/>
    <cellStyle name="20% - Accent6" xfId="36" builtinId="50"/>
    <cellStyle name="60% - Accent2" xfId="37" builtinId="36"/>
    <cellStyle name="Accent3" xfId="38" builtinId="37"/>
    <cellStyle name="20% - Accent3" xfId="39" builtinId="38"/>
    <cellStyle name="Accent4" xfId="40" builtinId="41"/>
    <cellStyle name="20% - Accent4" xfId="41" builtinId="42"/>
    <cellStyle name="40% - Accent4" xfId="42" builtinId="43"/>
    <cellStyle name="Accent5" xfId="43" builtinId="45"/>
    <cellStyle name="40% - Accent5" xfId="44" builtinId="47"/>
    <cellStyle name="60% - Accent5" xfId="45" builtinId="48"/>
    <cellStyle name="Accent6" xfId="46" builtinId="49"/>
    <cellStyle name="40% - Accent6" xfId="47" builtinId="51"/>
    <cellStyle name="60% - Accent6" xfId="48" builtinId="52"/>
  </cellStyles>
  <dxfs count="14">
    <dxf>
      <alignment vertical="center"/>
    </dxf>
    <dxf>
      <alignment horizontal="center" vertical="center"/>
    </dxf>
    <dxf>
      <alignment horizontal="center"/>
    </dxf>
    <dxf>
      <fill>
        <patternFill patternType="solid">
          <bgColor rgb="FFFF0000"/>
        </patternFill>
      </fill>
    </dxf>
    <dxf>
      <font>
        <name val="Calibri"/>
        <scheme val="none"/>
        <strike val="0"/>
        <u val="none"/>
        <sz val="7"/>
        <color theme="1"/>
      </font>
      <alignment vertical="center"/>
    </dxf>
    <dxf>
      <font>
        <name val="Calibri"/>
        <scheme val="none"/>
        <b val="0"/>
        <i val="0"/>
        <strike val="0"/>
        <u val="none"/>
        <sz val="7"/>
        <color theme="1"/>
      </font>
      <numFmt numFmtId="49" formatCode="@"/>
      <alignment horizontal="center" vertical="center"/>
    </dxf>
    <dxf>
      <font>
        <name val="Calibri"/>
        <scheme val="none"/>
        <strike val="0"/>
        <u val="none"/>
        <sz val="7"/>
        <color theme="1"/>
      </font>
      <alignment horizontal="center" vertical="center"/>
    </dxf>
    <dxf>
      <font>
        <name val="Calibri"/>
        <scheme val="none"/>
        <strike val="0"/>
        <u val="none"/>
        <sz val="7"/>
        <color theme="1"/>
      </font>
      <alignment vertical="center"/>
    </dxf>
    <dxf>
      <font>
        <name val="Calibri"/>
        <scheme val="none"/>
        <strike val="0"/>
        <u val="none"/>
        <sz val="7"/>
        <color theme="1"/>
      </font>
      <alignment vertical="center" wrapText="1"/>
    </dxf>
    <dxf>
      <font>
        <name val="Calibri"/>
        <scheme val="none"/>
        <strike val="0"/>
        <u val="none"/>
        <sz val="7"/>
        <color theme="1"/>
      </font>
      <alignment horizontal="left" vertical="center" wrapText="1"/>
    </dxf>
    <dxf>
      <font>
        <name val="Calibri"/>
        <scheme val="none"/>
        <strike val="0"/>
        <u val="none"/>
        <sz val="7"/>
        <color theme="1"/>
      </font>
      <alignment horizontal="left" vertical="center" wrapText="1"/>
    </dxf>
    <dxf>
      <font>
        <name val="Calibri"/>
        <scheme val="none"/>
        <strike val="0"/>
        <u val="none"/>
        <sz val="7"/>
        <color theme="1"/>
      </font>
      <alignment vertical="center"/>
    </dxf>
    <dxf>
      <font>
        <name val="Calibri"/>
        <scheme val="none"/>
        <b val="0"/>
        <i val="0"/>
        <strike val="0"/>
        <u val="none"/>
        <sz val="7"/>
        <color theme="1"/>
      </font>
      <alignment vertical="center"/>
    </dxf>
    <dxf>
      <font>
        <name val="Calibri"/>
        <scheme val="none"/>
        <strike val="0"/>
        <u val="none"/>
        <sz val="7"/>
        <color theme="1"/>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xdr:row>
          <xdr:rowOff>0</xdr:rowOff>
        </xdr:from>
        <xdr:to>
          <xdr:col>6</xdr:col>
          <xdr:colOff>9525</xdr:colOff>
          <xdr:row>2</xdr:row>
          <xdr:rowOff>180975</xdr:rowOff>
        </xdr:to>
        <xdr:sp>
          <xdr:nvSpPr>
            <xdr:cNvPr id="2051" name="CommandButton1" hidden="1">
              <a:extLst>
                <a:ext uri="{63B3BB69-23CF-44E3-9099-C40C66FF867C}">
                  <a14:compatExt spid="_x0000_s2051"/>
                </a:ext>
              </a:extLst>
            </xdr:cNvPr>
            <xdr:cNvSpPr/>
          </xdr:nvSpPr>
          <xdr:spPr>
            <a:xfrm>
              <a:off x="3886200" y="409575"/>
              <a:ext cx="2200275" cy="3714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xdr:row>
          <xdr:rowOff>0</xdr:rowOff>
        </xdr:from>
        <xdr:to>
          <xdr:col>9</xdr:col>
          <xdr:colOff>0</xdr:colOff>
          <xdr:row>2</xdr:row>
          <xdr:rowOff>180975</xdr:rowOff>
        </xdr:to>
        <xdr:sp>
          <xdr:nvSpPr>
            <xdr:cNvPr id="2063" name="CommandButton2" hidden="1">
              <a:extLst>
                <a:ext uri="{63B3BB69-23CF-44E3-9099-C40C66FF867C}">
                  <a14:compatExt spid="_x0000_s2063"/>
                </a:ext>
              </a:extLst>
            </xdr:cNvPr>
            <xdr:cNvSpPr/>
          </xdr:nvSpPr>
          <xdr:spPr>
            <a:xfrm>
              <a:off x="6086475" y="409575"/>
              <a:ext cx="2190750" cy="371475"/>
            </a:xfrm>
            <a:prstGeom prst="rect">
              <a:avLst/>
            </a:prstGeom>
          </xdr:spPr>
        </xdr:sp>
        <xdr:clientData/>
      </xdr:twoCellAnchor>
    </mc:Choice>
    <mc:Fallback/>
  </mc:AlternateContent>
</xdr:wsDr>
</file>

<file path=xl/tables/table1.xml><?xml version="1.0" encoding="utf-8"?>
<table xmlns="http://schemas.openxmlformats.org/spreadsheetml/2006/main" id="3" name="Tabla14" displayName="Tabla14" ref="A2:C34" totalsRowShown="0">
  <tableColumns count="3">
    <tableColumn id="1" name="Ámbito" dataDxfId="0"/>
    <tableColumn id="2" name="Código" dataDxfId="1"/>
    <tableColumn id="3" name="Requerido" dataDxfId="2"/>
  </tableColumns>
  <tableStyleInfo name="TableStyleMedium6" showFirstColumn="0" showLastColumn="0" showRowStripes="1" showColumnStripes="0"/>
</table>
</file>

<file path=xl/tables/table2.xml><?xml version="1.0" encoding="utf-8"?>
<table xmlns="http://schemas.openxmlformats.org/spreadsheetml/2006/main" id="2" name="Tabla2" displayName="Tabla2" ref="A2:J283" totalsRowShown="0">
  <autoFilter ref="A2:J283"/>
  <tableColumns count="10">
    <tableColumn id="1" name="Ámbito" dataDxfId="4"/>
    <tableColumn id="2" name="Numeración" dataDxfId="5"/>
    <tableColumn id="3" name="ID" dataDxfId="6"/>
    <tableColumn id="4" name="Nombre Variable" dataDxfId="7"/>
    <tableColumn id="5" name="Descripción de variable" dataDxfId="8"/>
    <tableColumn id="6" name="  Valor mínimo" dataDxfId="9"/>
    <tableColumn id="7" name="  Valor máximo" dataDxfId="10"/>
    <tableColumn id="8" name="Pregunta" dataDxfId="11"/>
    <tableColumn id="9" name="Solución mejora indicador" dataDxfId="12"/>
    <tableColumn id="10" name="Requerida" dataDxfId="13"/>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7" Type="http://schemas.openxmlformats.org/officeDocument/2006/relationships/table" Target="../tables/table1.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Hoja3"/>
  <dimension ref="A1:J34"/>
  <sheetViews>
    <sheetView workbookViewId="0">
      <selection activeCell="E7" sqref="E7"/>
    </sheetView>
  </sheetViews>
  <sheetFormatPr defaultColWidth="11" defaultRowHeight="15"/>
  <cols>
    <col min="1" max="1" width="33.4285714285714" customWidth="1"/>
    <col min="2" max="2" width="9.85714285714286" customWidth="1"/>
    <col min="3" max="3" width="14.8571428571429" style="17" customWidth="1"/>
  </cols>
  <sheetData>
    <row r="1" s="1" customFormat="1" ht="32.25" customHeight="1" spans="1:10">
      <c r="A1" s="6" t="s">
        <v>0</v>
      </c>
      <c r="B1" s="7"/>
      <c r="C1" s="7"/>
      <c r="D1" s="8"/>
      <c r="E1" s="8"/>
      <c r="F1" s="18"/>
      <c r="G1" s="18"/>
      <c r="H1" s="8"/>
      <c r="I1" s="8"/>
      <c r="J1" s="7"/>
    </row>
    <row r="2" spans="1:3">
      <c r="A2" s="19" t="s">
        <v>1</v>
      </c>
      <c r="B2" s="20" t="s">
        <v>2</v>
      </c>
      <c r="C2" s="20" t="s">
        <v>3</v>
      </c>
    </row>
    <row r="3" spans="1:2">
      <c r="A3" s="3" t="s">
        <v>4</v>
      </c>
      <c r="B3" s="4" t="s">
        <v>5</v>
      </c>
    </row>
    <row r="4" spans="1:2">
      <c r="A4" s="3" t="s">
        <v>6</v>
      </c>
      <c r="B4" s="4" t="s">
        <v>7</v>
      </c>
    </row>
    <row r="5" spans="1:2">
      <c r="A5" s="3" t="s">
        <v>8</v>
      </c>
      <c r="B5" s="4" t="s">
        <v>9</v>
      </c>
    </row>
    <row r="6" spans="1:2">
      <c r="A6" s="3" t="s">
        <v>10</v>
      </c>
      <c r="B6" s="4" t="s">
        <v>11</v>
      </c>
    </row>
    <row r="7" spans="1:2">
      <c r="A7" s="3" t="s">
        <v>12</v>
      </c>
      <c r="B7" s="4" t="s">
        <v>13</v>
      </c>
    </row>
    <row r="8" spans="1:2">
      <c r="A8" s="3" t="s">
        <v>14</v>
      </c>
      <c r="B8" s="4" t="s">
        <v>15</v>
      </c>
    </row>
    <row r="9" spans="1:2">
      <c r="A9" s="3" t="s">
        <v>16</v>
      </c>
      <c r="B9" s="4" t="s">
        <v>16</v>
      </c>
    </row>
    <row r="10" spans="1:2">
      <c r="A10" s="3" t="s">
        <v>17</v>
      </c>
      <c r="B10" s="4" t="s">
        <v>18</v>
      </c>
    </row>
    <row r="11" spans="1:2">
      <c r="A11" s="3" t="s">
        <v>19</v>
      </c>
      <c r="B11" s="4" t="s">
        <v>20</v>
      </c>
    </row>
    <row r="12" spans="1:2">
      <c r="A12" s="3" t="s">
        <v>21</v>
      </c>
      <c r="B12" s="4" t="s">
        <v>22</v>
      </c>
    </row>
    <row r="13" spans="1:2">
      <c r="A13" s="3" t="s">
        <v>23</v>
      </c>
      <c r="B13" s="4" t="s">
        <v>24</v>
      </c>
    </row>
    <row r="14" spans="1:2">
      <c r="A14" s="3" t="s">
        <v>25</v>
      </c>
      <c r="B14" s="4" t="s">
        <v>26</v>
      </c>
    </row>
    <row r="15" spans="1:2">
      <c r="A15" s="3" t="s">
        <v>27</v>
      </c>
      <c r="B15" s="4" t="s">
        <v>28</v>
      </c>
    </row>
    <row r="16" spans="1:2">
      <c r="A16" s="3" t="s">
        <v>29</v>
      </c>
      <c r="B16" s="4" t="s">
        <v>30</v>
      </c>
    </row>
    <row r="17" spans="1:2">
      <c r="A17" s="3" t="s">
        <v>31</v>
      </c>
      <c r="B17" s="4" t="s">
        <v>31</v>
      </c>
    </row>
    <row r="18" spans="1:2">
      <c r="A18" s="3" t="s">
        <v>32</v>
      </c>
      <c r="B18" s="4" t="s">
        <v>33</v>
      </c>
    </row>
    <row r="19" spans="1:2">
      <c r="A19" s="3" t="s">
        <v>34</v>
      </c>
      <c r="B19" s="4" t="s">
        <v>35</v>
      </c>
    </row>
    <row r="20" spans="1:2">
      <c r="A20" s="3" t="s">
        <v>36</v>
      </c>
      <c r="B20" s="4" t="s">
        <v>37</v>
      </c>
    </row>
    <row r="21" spans="1:2">
      <c r="A21" s="3" t="s">
        <v>38</v>
      </c>
      <c r="B21" s="4" t="s">
        <v>39</v>
      </c>
    </row>
    <row r="22" spans="1:2">
      <c r="A22" s="3" t="s">
        <v>40</v>
      </c>
      <c r="B22" s="4" t="s">
        <v>41</v>
      </c>
    </row>
    <row r="23" spans="1:2">
      <c r="A23" s="3" t="s">
        <v>42</v>
      </c>
      <c r="B23" s="4" t="s">
        <v>43</v>
      </c>
    </row>
    <row r="24" spans="1:2">
      <c r="A24" s="3" t="s">
        <v>44</v>
      </c>
      <c r="B24" s="4" t="s">
        <v>45</v>
      </c>
    </row>
    <row r="25" spans="1:2">
      <c r="A25" s="3" t="s">
        <v>46</v>
      </c>
      <c r="B25" s="4" t="s">
        <v>47</v>
      </c>
    </row>
    <row r="26" spans="1:2">
      <c r="A26" s="3" t="s">
        <v>48</v>
      </c>
      <c r="B26" s="4" t="s">
        <v>49</v>
      </c>
    </row>
    <row r="27" spans="1:2">
      <c r="A27" s="3" t="s">
        <v>50</v>
      </c>
      <c r="B27" s="4" t="s">
        <v>51</v>
      </c>
    </row>
    <row r="28" spans="1:2">
      <c r="A28" s="3" t="s">
        <v>52</v>
      </c>
      <c r="B28" s="4" t="s">
        <v>53</v>
      </c>
    </row>
    <row r="29" spans="1:2">
      <c r="A29" s="3" t="s">
        <v>54</v>
      </c>
      <c r="B29" s="4" t="s">
        <v>55</v>
      </c>
    </row>
    <row r="30" spans="1:2">
      <c r="A30" s="3" t="s">
        <v>56</v>
      </c>
      <c r="B30" s="4" t="s">
        <v>57</v>
      </c>
    </row>
    <row r="31" spans="1:2">
      <c r="A31" s="3" t="s">
        <v>58</v>
      </c>
      <c r="B31" s="4" t="s">
        <v>59</v>
      </c>
    </row>
    <row r="32" spans="1:2">
      <c r="A32" s="3" t="s">
        <v>60</v>
      </c>
      <c r="B32" s="4" t="s">
        <v>61</v>
      </c>
    </row>
    <row r="33" spans="1:2">
      <c r="A33" s="3" t="s">
        <v>62</v>
      </c>
      <c r="B33" s="4" t="s">
        <v>63</v>
      </c>
    </row>
    <row r="34" spans="1:2">
      <c r="A34" s="3" t="s">
        <v>64</v>
      </c>
      <c r="B34" s="4" t="s">
        <v>65</v>
      </c>
    </row>
  </sheetData>
  <conditionalFormatting sqref="B$1:B$1048576">
    <cfRule type="duplicateValues" dxfId="3" priority="1"/>
  </conditionalFormatting>
  <dataValidations count="1">
    <dataValidation type="list" allowBlank="1" showInputMessage="1" showErrorMessage="1" sqref="C3:C34">
      <formula1>Aux!$A$1:$A$2</formula1>
    </dataValidation>
  </dataValidations>
  <pageMargins left="0.699305555555556" right="0.699305555555556" top="0.75" bottom="0.75" header="0.3" footer="0.3"/>
  <pageSetup paperSize="9" orientation="portrait" horizontalDpi="300" verticalDpi="300"/>
  <headerFooter/>
  <drawing r:id="rId1"/>
  <legacyDrawing r:id="rId2"/>
  <controls>
    <mc:AlternateContent xmlns:mc="http://schemas.openxmlformats.org/markup-compatibility/2006">
      <mc:Choice Requires="x14">
        <control shapeId="2051" r:id="rId3">
          <controlPr defaultSize="0" r:id="rId4">
            <anchor moveWithCells="1">
              <from>
                <xdr:col>3</xdr:col>
                <xdr:colOff>9525</xdr:colOff>
                <xdr:row>1</xdr:row>
                <xdr:rowOff>0</xdr:rowOff>
              </from>
              <to>
                <xdr:col>6</xdr:col>
                <xdr:colOff>9525</xdr:colOff>
                <xdr:row>2</xdr:row>
                <xdr:rowOff>180975</xdr:rowOff>
              </to>
            </anchor>
          </controlPr>
        </control>
      </mc:Choice>
      <mc:Fallback>
        <control shapeId="2051" r:id="rId3"/>
      </mc:Fallback>
    </mc:AlternateContent>
    <mc:AlternateContent xmlns:mc="http://schemas.openxmlformats.org/markup-compatibility/2006">
      <mc:Choice Requires="x14">
        <control shapeId="2063" r:id="rId5">
          <controlPr defaultSize="0" r:id="rId6">
            <anchor moveWithCells="1">
              <from>
                <xdr:col>6</xdr:col>
                <xdr:colOff>9525</xdr:colOff>
                <xdr:row>1</xdr:row>
                <xdr:rowOff>0</xdr:rowOff>
              </from>
              <to>
                <xdr:col>9</xdr:col>
                <xdr:colOff>0</xdr:colOff>
                <xdr:row>2</xdr:row>
                <xdr:rowOff>180975</xdr:rowOff>
              </to>
            </anchor>
          </controlPr>
        </control>
      </mc:Choice>
      <mc:Fallback>
        <control shapeId="2063" r:id="rId5"/>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Hoja1"/>
  <dimension ref="A1:J283"/>
  <sheetViews>
    <sheetView tabSelected="1" zoomScale="115" zoomScaleNormal="115" workbookViewId="0">
      <pane ySplit="2" topLeftCell="A3" activePane="bottomLeft" state="frozen"/>
      <selection/>
      <selection pane="bottomLeft" activeCell="B2" sqref="B2"/>
    </sheetView>
  </sheetViews>
  <sheetFormatPr defaultColWidth="11" defaultRowHeight="15"/>
  <cols>
    <col min="1" max="1" width="24.4285714285714" style="3" customWidth="1"/>
    <col min="2" max="2" width="12.8571428571429" style="4" customWidth="1"/>
    <col min="3" max="3" width="9.28571428571429" style="4" customWidth="1"/>
    <col min="4" max="4" width="54.1428571428571" style="3" customWidth="1"/>
    <col min="5" max="5" width="52" style="3" customWidth="1"/>
    <col min="6" max="6" width="29.7142857142857" style="5" customWidth="1"/>
    <col min="7" max="7" width="54" style="5" customWidth="1"/>
    <col min="8" max="9" width="60.8571428571429" style="3" customWidth="1"/>
    <col min="10" max="10" width="10.1428571428571" style="4" customWidth="1"/>
  </cols>
  <sheetData>
    <row r="1" s="1" customFormat="1" ht="27" customHeight="1" spans="1:10">
      <c r="A1" s="6" t="s">
        <v>0</v>
      </c>
      <c r="B1" s="7"/>
      <c r="C1" s="7"/>
      <c r="D1" s="8"/>
      <c r="E1" s="8"/>
      <c r="F1" s="9"/>
      <c r="G1" s="9"/>
      <c r="H1" s="8"/>
      <c r="I1" s="8"/>
      <c r="J1" s="7"/>
    </row>
    <row r="2" s="2" customFormat="1" ht="12" spans="1:10">
      <c r="A2" s="2" t="s">
        <v>1</v>
      </c>
      <c r="B2" s="10" t="s">
        <v>66</v>
      </c>
      <c r="C2" s="10" t="s">
        <v>67</v>
      </c>
      <c r="D2" s="2" t="s">
        <v>68</v>
      </c>
      <c r="E2" s="2" t="s">
        <v>69</v>
      </c>
      <c r="F2" s="2" t="s">
        <v>70</v>
      </c>
      <c r="G2" s="2" t="s">
        <v>71</v>
      </c>
      <c r="H2" s="2" t="s">
        <v>72</v>
      </c>
      <c r="I2" s="2" t="s">
        <v>73</v>
      </c>
      <c r="J2" s="2" t="s">
        <v>74</v>
      </c>
    </row>
    <row r="3" ht="72" spans="1:10">
      <c r="A3" s="11" t="s">
        <v>46</v>
      </c>
      <c r="B3" s="12" t="s">
        <v>75</v>
      </c>
      <c r="C3" s="13" t="str">
        <f>VLOOKUP(Tabla2[[#This Row],[Ámbito]],Tabla14[[Ámbito]:[Código]],2,FALSE)&amp;"-"&amp;Tabla2[[#This Row],[Numeración]]</f>
        <v>ARQ-001</v>
      </c>
      <c r="D3" s="11" t="s">
        <v>76</v>
      </c>
      <c r="E3" s="14" t="s">
        <v>77</v>
      </c>
      <c r="F3" s="15" t="s">
        <v>78</v>
      </c>
      <c r="G3" s="15" t="s">
        <v>79</v>
      </c>
      <c r="H3" s="11" t="s">
        <v>72</v>
      </c>
      <c r="I3" s="11"/>
      <c r="J3" s="13"/>
    </row>
    <row r="4" ht="63" spans="1:10">
      <c r="A4" s="11" t="s">
        <v>46</v>
      </c>
      <c r="B4" s="12" t="s">
        <v>80</v>
      </c>
      <c r="C4" s="13" t="str">
        <f>VLOOKUP(Tabla2[[#This Row],[Ámbito]],Tabla14[[Ámbito]:[Código]],2,FALSE)&amp;"-"&amp;Tabla2[[#This Row],[Numeración]]</f>
        <v>ARQ-002</v>
      </c>
      <c r="D4" s="11" t="s">
        <v>81</v>
      </c>
      <c r="E4" s="14" t="s">
        <v>82</v>
      </c>
      <c r="F4" s="15" t="s">
        <v>83</v>
      </c>
      <c r="G4" s="15" t="s">
        <v>84</v>
      </c>
      <c r="H4" s="11" t="s">
        <v>72</v>
      </c>
      <c r="I4" s="11"/>
      <c r="J4" s="13"/>
    </row>
    <row r="5" ht="81" spans="1:10">
      <c r="A5" s="11" t="s">
        <v>46</v>
      </c>
      <c r="B5" s="12" t="s">
        <v>85</v>
      </c>
      <c r="C5" s="13" t="str">
        <f>VLOOKUP(Tabla2[[#This Row],[Ámbito]],Tabla14[[Ámbito]:[Código]],2,FALSE)&amp;"-"&amp;Tabla2[[#This Row],[Numeración]]</f>
        <v>ARQ-003</v>
      </c>
      <c r="D5" s="11" t="s">
        <v>86</v>
      </c>
      <c r="E5" s="14" t="s">
        <v>87</v>
      </c>
      <c r="F5" s="15" t="s">
        <v>88</v>
      </c>
      <c r="G5" s="15" t="s">
        <v>89</v>
      </c>
      <c r="H5" s="11" t="s">
        <v>72</v>
      </c>
      <c r="I5" s="11"/>
      <c r="J5" s="13"/>
    </row>
    <row r="6" ht="63" spans="1:10">
      <c r="A6" s="11" t="s">
        <v>46</v>
      </c>
      <c r="B6" s="12" t="s">
        <v>90</v>
      </c>
      <c r="C6" s="13" t="str">
        <f>VLOOKUP(Tabla2[[#This Row],[Ámbito]],Tabla14[[Ámbito]:[Código]],2,FALSE)&amp;"-"&amp;Tabla2[[#This Row],[Numeración]]</f>
        <v>ARQ-004</v>
      </c>
      <c r="D6" s="11" t="s">
        <v>91</v>
      </c>
      <c r="E6" s="14" t="s">
        <v>92</v>
      </c>
      <c r="F6" s="15" t="s">
        <v>93</v>
      </c>
      <c r="G6" s="15" t="s">
        <v>94</v>
      </c>
      <c r="H6" s="11" t="s">
        <v>72</v>
      </c>
      <c r="I6" s="11"/>
      <c r="J6" s="13"/>
    </row>
    <row r="7" ht="45" spans="1:10">
      <c r="A7" s="11" t="s">
        <v>46</v>
      </c>
      <c r="B7" s="12" t="s">
        <v>95</v>
      </c>
      <c r="C7" s="13" t="str">
        <f>VLOOKUP(Tabla2[[#This Row],[Ámbito]],Tabla14[[Ámbito]:[Código]],2,FALSE)&amp;"-"&amp;Tabla2[[#This Row],[Numeración]]</f>
        <v>ARQ-005</v>
      </c>
      <c r="D7" s="11" t="s">
        <v>96</v>
      </c>
      <c r="E7" s="14" t="s">
        <v>97</v>
      </c>
      <c r="F7" s="15" t="s">
        <v>98</v>
      </c>
      <c r="G7" s="15" t="s">
        <v>99</v>
      </c>
      <c r="H7" s="11" t="s">
        <v>72</v>
      </c>
      <c r="I7" s="11"/>
      <c r="J7" s="13"/>
    </row>
    <row r="8" ht="18" spans="1:10">
      <c r="A8" s="11" t="s">
        <v>46</v>
      </c>
      <c r="B8" s="12" t="s">
        <v>100</v>
      </c>
      <c r="C8" s="13" t="str">
        <f>VLOOKUP(Tabla2[[#This Row],[Ámbito]],Tabla14[[Ámbito]:[Código]],2,FALSE)&amp;"-"&amp;Tabla2[[#This Row],[Numeración]]</f>
        <v>ARQ-006</v>
      </c>
      <c r="D8" s="11" t="s">
        <v>101</v>
      </c>
      <c r="E8" s="14" t="s">
        <v>102</v>
      </c>
      <c r="F8" s="15" t="s">
        <v>103</v>
      </c>
      <c r="G8" s="15" t="s">
        <v>104</v>
      </c>
      <c r="H8" s="11" t="s">
        <v>72</v>
      </c>
      <c r="I8" s="11"/>
      <c r="J8" s="13"/>
    </row>
    <row r="9" ht="45" spans="1:10">
      <c r="A9" s="11" t="s">
        <v>46</v>
      </c>
      <c r="B9" s="12" t="s">
        <v>105</v>
      </c>
      <c r="C9" s="13" t="str">
        <f>VLOOKUP(Tabla2[[#This Row],[Ámbito]],Tabla14[[Ámbito]:[Código]],2,FALSE)&amp;"-"&amp;Tabla2[[#This Row],[Numeración]]</f>
        <v>ARQ-007</v>
      </c>
      <c r="D9" s="11" t="s">
        <v>106</v>
      </c>
      <c r="E9" s="14" t="s">
        <v>107</v>
      </c>
      <c r="F9" s="15" t="s">
        <v>108</v>
      </c>
      <c r="G9" s="15" t="s">
        <v>109</v>
      </c>
      <c r="H9" s="11" t="s">
        <v>72</v>
      </c>
      <c r="I9" s="11"/>
      <c r="J9" s="13"/>
    </row>
    <row r="10" ht="27" spans="1:10">
      <c r="A10" s="11" t="s">
        <v>46</v>
      </c>
      <c r="B10" s="12" t="s">
        <v>110</v>
      </c>
      <c r="C10" s="16" t="str">
        <f>VLOOKUP(Tabla2[[#This Row],[Ámbito]],Tabla14[[Ámbito]:[Código]],2,FALSE)&amp;"-"&amp;Tabla2[[#This Row],[Numeración]]</f>
        <v>ARQ-008</v>
      </c>
      <c r="D10" s="11" t="s">
        <v>111</v>
      </c>
      <c r="E10" s="14" t="s">
        <v>112</v>
      </c>
      <c r="F10" s="15" t="s">
        <v>113</v>
      </c>
      <c r="G10" s="15" t="s">
        <v>114</v>
      </c>
      <c r="H10" s="11" t="s">
        <v>72</v>
      </c>
      <c r="I10" s="11"/>
      <c r="J10" s="13"/>
    </row>
    <row r="11" ht="27" spans="1:10">
      <c r="A11" s="11" t="s">
        <v>46</v>
      </c>
      <c r="B11" s="12" t="s">
        <v>115</v>
      </c>
      <c r="C11" s="16" t="str">
        <f>VLOOKUP(Tabla2[[#This Row],[Ámbito]],Tabla14[[Ámbito]:[Código]],2,FALSE)&amp;"-"&amp;Tabla2[[#This Row],[Numeración]]</f>
        <v>ARQ-009</v>
      </c>
      <c r="D11" s="11" t="s">
        <v>116</v>
      </c>
      <c r="E11" s="14" t="s">
        <v>117</v>
      </c>
      <c r="F11" s="15" t="s">
        <v>118</v>
      </c>
      <c r="G11" s="15" t="s">
        <v>119</v>
      </c>
      <c r="H11" s="11" t="s">
        <v>72</v>
      </c>
      <c r="I11" s="11"/>
      <c r="J11" s="13"/>
    </row>
    <row r="12" ht="18" spans="1:10">
      <c r="A12" s="11" t="s">
        <v>46</v>
      </c>
      <c r="B12" s="12" t="s">
        <v>120</v>
      </c>
      <c r="C12" s="16" t="str">
        <f>VLOOKUP(Tabla2[[#This Row],[Ámbito]],Tabla14[[Ámbito]:[Código]],2,FALSE)&amp;"-"&amp;Tabla2[[#This Row],[Numeración]]</f>
        <v>ARQ-010</v>
      </c>
      <c r="D12" s="11" t="s">
        <v>121</v>
      </c>
      <c r="E12" s="14" t="s">
        <v>122</v>
      </c>
      <c r="F12" s="15" t="s">
        <v>123</v>
      </c>
      <c r="G12" s="15" t="s">
        <v>124</v>
      </c>
      <c r="H12" s="11" t="s">
        <v>72</v>
      </c>
      <c r="I12" s="11"/>
      <c r="J12" s="13"/>
    </row>
    <row r="13" ht="18" spans="1:10">
      <c r="A13" s="11" t="s">
        <v>46</v>
      </c>
      <c r="B13" s="12" t="s">
        <v>125</v>
      </c>
      <c r="C13" s="16" t="str">
        <f>VLOOKUP(Tabla2[[#This Row],[Ámbito]],Tabla14[[Ámbito]:[Código]],2,FALSE)&amp;"-"&amp;Tabla2[[#This Row],[Numeración]]</f>
        <v>ARQ-011</v>
      </c>
      <c r="D13" s="11" t="s">
        <v>126</v>
      </c>
      <c r="E13" s="14" t="s">
        <v>127</v>
      </c>
      <c r="F13" s="15" t="s">
        <v>128</v>
      </c>
      <c r="G13" s="15" t="s">
        <v>129</v>
      </c>
      <c r="H13" s="11" t="s">
        <v>72</v>
      </c>
      <c r="I13" s="11"/>
      <c r="J13" s="13"/>
    </row>
    <row r="14" ht="36" spans="1:10">
      <c r="A14" s="11" t="s">
        <v>10</v>
      </c>
      <c r="B14" s="12" t="s">
        <v>75</v>
      </c>
      <c r="C14" s="16" t="str">
        <f>VLOOKUP(Tabla2[[#This Row],[Ámbito]],Tabla14[[Ámbito]:[Código]],2,FALSE)&amp;"-"&amp;Tabla2[[#This Row],[Numeración]]</f>
        <v>BPA-001</v>
      </c>
      <c r="D14" s="11" t="s">
        <v>130</v>
      </c>
      <c r="E14" s="14" t="s">
        <v>131</v>
      </c>
      <c r="F14" s="15" t="s">
        <v>132</v>
      </c>
      <c r="G14" s="15" t="s">
        <v>133</v>
      </c>
      <c r="H14" s="11" t="s">
        <v>72</v>
      </c>
      <c r="I14" s="11"/>
      <c r="J14" s="13" t="s">
        <v>134</v>
      </c>
    </row>
    <row r="15" ht="54" spans="1:10">
      <c r="A15" s="11" t="s">
        <v>10</v>
      </c>
      <c r="B15" s="12" t="s">
        <v>80</v>
      </c>
      <c r="C15" s="16" t="str">
        <f>VLOOKUP(Tabla2[[#This Row],[Ámbito]],Tabla14[[Ámbito]:[Código]],2,FALSE)&amp;"-"&amp;Tabla2[[#This Row],[Numeración]]</f>
        <v>BPA-002</v>
      </c>
      <c r="D15" s="11" t="s">
        <v>135</v>
      </c>
      <c r="E15" s="14" t="s">
        <v>136</v>
      </c>
      <c r="F15" s="15" t="s">
        <v>137</v>
      </c>
      <c r="G15" s="15" t="s">
        <v>138</v>
      </c>
      <c r="H15" s="11" t="s">
        <v>72</v>
      </c>
      <c r="I15" s="11"/>
      <c r="J15" s="13" t="s">
        <v>134</v>
      </c>
    </row>
    <row r="16" ht="18" spans="1:10">
      <c r="A16" s="11" t="s">
        <v>10</v>
      </c>
      <c r="B16" s="12" t="s">
        <v>85</v>
      </c>
      <c r="C16" s="16" t="str">
        <f>VLOOKUP(Tabla2[[#This Row],[Ámbito]],Tabla14[[Ámbito]:[Código]],2,FALSE)&amp;"-"&amp;Tabla2[[#This Row],[Numeración]]</f>
        <v>BPA-003</v>
      </c>
      <c r="D16" s="11" t="s">
        <v>139</v>
      </c>
      <c r="E16" s="14" t="s">
        <v>140</v>
      </c>
      <c r="F16" s="15" t="s">
        <v>141</v>
      </c>
      <c r="G16" s="15" t="s">
        <v>142</v>
      </c>
      <c r="H16" s="11" t="s">
        <v>72</v>
      </c>
      <c r="I16" s="11"/>
      <c r="J16" s="13" t="s">
        <v>134</v>
      </c>
    </row>
    <row r="17" ht="18" spans="1:10">
      <c r="A17" s="11" t="s">
        <v>10</v>
      </c>
      <c r="B17" s="12" t="s">
        <v>90</v>
      </c>
      <c r="C17" s="16" t="str">
        <f>VLOOKUP(Tabla2[[#This Row],[Ámbito]],Tabla14[[Ámbito]:[Código]],2,FALSE)&amp;"-"&amp;Tabla2[[#This Row],[Numeración]]</f>
        <v>BPA-004</v>
      </c>
      <c r="D17" s="11" t="s">
        <v>143</v>
      </c>
      <c r="E17" s="14" t="s">
        <v>144</v>
      </c>
      <c r="F17" s="15" t="s">
        <v>145</v>
      </c>
      <c r="G17" s="15" t="s">
        <v>146</v>
      </c>
      <c r="H17" s="11" t="s">
        <v>72</v>
      </c>
      <c r="I17" s="11"/>
      <c r="J17" s="13" t="s">
        <v>134</v>
      </c>
    </row>
    <row r="18" ht="27" spans="1:10">
      <c r="A18" s="11" t="s">
        <v>10</v>
      </c>
      <c r="B18" s="12" t="s">
        <v>95</v>
      </c>
      <c r="C18" s="16" t="str">
        <f>VLOOKUP(Tabla2[[#This Row],[Ámbito]],Tabla14[[Ámbito]:[Código]],2,FALSE)&amp;"-"&amp;Tabla2[[#This Row],[Numeración]]</f>
        <v>BPA-005</v>
      </c>
      <c r="D18" s="11" t="s">
        <v>147</v>
      </c>
      <c r="E18" s="14" t="s">
        <v>148</v>
      </c>
      <c r="F18" s="15" t="s">
        <v>149</v>
      </c>
      <c r="G18" s="15" t="s">
        <v>150</v>
      </c>
      <c r="H18" s="11" t="s">
        <v>72</v>
      </c>
      <c r="I18" s="11"/>
      <c r="J18" s="13" t="s">
        <v>134</v>
      </c>
    </row>
    <row r="19" ht="18" spans="1:10">
      <c r="A19" s="11" t="s">
        <v>10</v>
      </c>
      <c r="B19" s="12" t="s">
        <v>100</v>
      </c>
      <c r="C19" s="16" t="str">
        <f>VLOOKUP(Tabla2[[#This Row],[Ámbito]],Tabla14[[Ámbito]:[Código]],2,FALSE)&amp;"-"&amp;Tabla2[[#This Row],[Numeración]]</f>
        <v>BPA-006</v>
      </c>
      <c r="D19" s="11" t="s">
        <v>151</v>
      </c>
      <c r="E19" s="14" t="s">
        <v>152</v>
      </c>
      <c r="F19" s="15" t="s">
        <v>153</v>
      </c>
      <c r="G19" s="15" t="s">
        <v>154</v>
      </c>
      <c r="H19" s="11" t="s">
        <v>72</v>
      </c>
      <c r="I19" s="11"/>
      <c r="J19" s="13" t="s">
        <v>134</v>
      </c>
    </row>
    <row r="20" ht="18" spans="1:10">
      <c r="A20" s="11" t="s">
        <v>10</v>
      </c>
      <c r="B20" s="12" t="s">
        <v>105</v>
      </c>
      <c r="C20" s="16" t="str">
        <f>VLOOKUP(Tabla2[[#This Row],[Ámbito]],Tabla14[[Ámbito]:[Código]],2,FALSE)&amp;"-"&amp;Tabla2[[#This Row],[Numeración]]</f>
        <v>BPA-007</v>
      </c>
      <c r="D20" s="11" t="s">
        <v>155</v>
      </c>
      <c r="E20" s="14" t="s">
        <v>156</v>
      </c>
      <c r="F20" s="15" t="s">
        <v>157</v>
      </c>
      <c r="G20" s="15" t="s">
        <v>158</v>
      </c>
      <c r="H20" s="11" t="s">
        <v>72</v>
      </c>
      <c r="I20" s="11"/>
      <c r="J20" s="13" t="s">
        <v>134</v>
      </c>
    </row>
    <row r="21" ht="36" spans="1:10">
      <c r="A21" s="11" t="s">
        <v>12</v>
      </c>
      <c r="B21" s="12" t="s">
        <v>75</v>
      </c>
      <c r="C21" s="16" t="str">
        <f>VLOOKUP(Tabla2[[#This Row],[Ámbito]],Tabla14[[Ámbito]:[Código]],2,FALSE)&amp;"-"&amp;Tabla2[[#This Row],[Numeración]]</f>
        <v>CYS-001</v>
      </c>
      <c r="D21" s="11" t="s">
        <v>159</v>
      </c>
      <c r="E21" s="14" t="s">
        <v>160</v>
      </c>
      <c r="F21" s="15" t="s">
        <v>161</v>
      </c>
      <c r="G21" s="15" t="s">
        <v>162</v>
      </c>
      <c r="H21" s="11" t="s">
        <v>72</v>
      </c>
      <c r="I21" s="11"/>
      <c r="J21" s="13"/>
    </row>
    <row r="22" ht="18" spans="1:10">
      <c r="A22" s="11" t="s">
        <v>12</v>
      </c>
      <c r="B22" s="12" t="s">
        <v>80</v>
      </c>
      <c r="C22" s="16" t="str">
        <f>VLOOKUP(Tabla2[[#This Row],[Ámbito]],Tabla14[[Ámbito]:[Código]],2,FALSE)&amp;"-"&amp;Tabla2[[#This Row],[Numeración]]</f>
        <v>CYS-002</v>
      </c>
      <c r="D22" s="11" t="s">
        <v>163</v>
      </c>
      <c r="E22" s="14" t="s">
        <v>164</v>
      </c>
      <c r="F22" s="15" t="s">
        <v>165</v>
      </c>
      <c r="G22" s="15" t="s">
        <v>166</v>
      </c>
      <c r="H22" s="11" t="s">
        <v>72</v>
      </c>
      <c r="I22" s="11"/>
      <c r="J22" s="13"/>
    </row>
    <row r="23" ht="27" spans="1:10">
      <c r="A23" s="11" t="s">
        <v>12</v>
      </c>
      <c r="B23" s="12" t="s">
        <v>85</v>
      </c>
      <c r="C23" s="16" t="str">
        <f>VLOOKUP(Tabla2[[#This Row],[Ámbito]],Tabla14[[Ámbito]:[Código]],2,FALSE)&amp;"-"&amp;Tabla2[[#This Row],[Numeración]]</f>
        <v>CYS-003</v>
      </c>
      <c r="D23" s="11" t="s">
        <v>167</v>
      </c>
      <c r="E23" s="14" t="s">
        <v>168</v>
      </c>
      <c r="F23" s="15" t="s">
        <v>169</v>
      </c>
      <c r="G23" s="15" t="s">
        <v>170</v>
      </c>
      <c r="H23" s="11" t="s">
        <v>72</v>
      </c>
      <c r="I23" s="11"/>
      <c r="J23" s="13"/>
    </row>
    <row r="24" ht="108" spans="1:10">
      <c r="A24" s="11" t="s">
        <v>12</v>
      </c>
      <c r="B24" s="12" t="s">
        <v>90</v>
      </c>
      <c r="C24" s="16" t="str">
        <f>VLOOKUP(Tabla2[[#This Row],[Ámbito]],Tabla14[[Ámbito]:[Código]],2,FALSE)&amp;"-"&amp;Tabla2[[#This Row],[Numeración]]</f>
        <v>CYS-004</v>
      </c>
      <c r="D24" s="11" t="s">
        <v>171</v>
      </c>
      <c r="E24" s="14" t="s">
        <v>172</v>
      </c>
      <c r="F24" s="15" t="s">
        <v>173</v>
      </c>
      <c r="G24" s="15" t="s">
        <v>174</v>
      </c>
      <c r="H24" s="11" t="s">
        <v>72</v>
      </c>
      <c r="I24" s="11"/>
      <c r="J24" s="13"/>
    </row>
    <row r="25" ht="27" spans="1:10">
      <c r="A25" s="11" t="s">
        <v>12</v>
      </c>
      <c r="B25" s="12" t="s">
        <v>95</v>
      </c>
      <c r="C25" s="16" t="str">
        <f>VLOOKUP(Tabla2[[#This Row],[Ámbito]],Tabla14[[Ámbito]:[Código]],2,FALSE)&amp;"-"&amp;Tabla2[[#This Row],[Numeración]]</f>
        <v>CYS-005</v>
      </c>
      <c r="D25" s="11" t="s">
        <v>175</v>
      </c>
      <c r="E25" s="14" t="s">
        <v>176</v>
      </c>
      <c r="F25" s="15" t="s">
        <v>177</v>
      </c>
      <c r="G25" s="15" t="s">
        <v>178</v>
      </c>
      <c r="H25" s="11" t="s">
        <v>72</v>
      </c>
      <c r="I25" s="11"/>
      <c r="J25" s="13"/>
    </row>
    <row r="26" ht="36" spans="1:10">
      <c r="A26" s="11" t="s">
        <v>12</v>
      </c>
      <c r="B26" s="12" t="s">
        <v>100</v>
      </c>
      <c r="C26" s="16" t="str">
        <f>VLOOKUP(Tabla2[[#This Row],[Ámbito]],Tabla14[[Ámbito]:[Código]],2,FALSE)&amp;"-"&amp;Tabla2[[#This Row],[Numeración]]</f>
        <v>CYS-006</v>
      </c>
      <c r="D26" s="11" t="s">
        <v>179</v>
      </c>
      <c r="E26" s="14" t="s">
        <v>180</v>
      </c>
      <c r="F26" s="15" t="s">
        <v>181</v>
      </c>
      <c r="G26" s="15" t="s">
        <v>182</v>
      </c>
      <c r="H26" s="11" t="s">
        <v>72</v>
      </c>
      <c r="I26" s="11"/>
      <c r="J26" s="13"/>
    </row>
    <row r="27" ht="27" spans="1:10">
      <c r="A27" s="11" t="s">
        <v>12</v>
      </c>
      <c r="B27" s="12" t="s">
        <v>105</v>
      </c>
      <c r="C27" s="16" t="str">
        <f>VLOOKUP(Tabla2[[#This Row],[Ámbito]],Tabla14[[Ámbito]:[Código]],2,FALSE)&amp;"-"&amp;Tabla2[[#This Row],[Numeración]]</f>
        <v>CYS-007</v>
      </c>
      <c r="D27" s="11" t="s">
        <v>183</v>
      </c>
      <c r="E27" s="14" t="s">
        <v>184</v>
      </c>
      <c r="F27" s="15" t="s">
        <v>185</v>
      </c>
      <c r="G27" s="15" t="s">
        <v>186</v>
      </c>
      <c r="H27" s="11" t="s">
        <v>72</v>
      </c>
      <c r="I27" s="11"/>
      <c r="J27" s="13"/>
    </row>
    <row r="28" ht="27" spans="1:10">
      <c r="A28" s="11" t="s">
        <v>12</v>
      </c>
      <c r="B28" s="12" t="s">
        <v>110</v>
      </c>
      <c r="C28" s="16" t="str">
        <f>VLOOKUP(Tabla2[[#This Row],[Ámbito]],Tabla14[[Ámbito]:[Código]],2,FALSE)&amp;"-"&amp;Tabla2[[#This Row],[Numeración]]</f>
        <v>CYS-008</v>
      </c>
      <c r="D28" s="11" t="s">
        <v>187</v>
      </c>
      <c r="E28" s="14" t="s">
        <v>188</v>
      </c>
      <c r="F28" s="15" t="s">
        <v>189</v>
      </c>
      <c r="G28" s="15" t="s">
        <v>190</v>
      </c>
      <c r="H28" s="11" t="s">
        <v>72</v>
      </c>
      <c r="I28" s="11"/>
      <c r="J28" s="13"/>
    </row>
    <row r="29" ht="45" spans="1:10">
      <c r="A29" s="11" t="s">
        <v>12</v>
      </c>
      <c r="B29" s="12" t="s">
        <v>115</v>
      </c>
      <c r="C29" s="16" t="str">
        <f>VLOOKUP(Tabla2[[#This Row],[Ámbito]],Tabla14[[Ámbito]:[Código]],2,FALSE)&amp;"-"&amp;Tabla2[[#This Row],[Numeración]]</f>
        <v>CYS-009</v>
      </c>
      <c r="D29" s="11" t="s">
        <v>58</v>
      </c>
      <c r="E29" s="14" t="s">
        <v>191</v>
      </c>
      <c r="F29" s="15" t="s">
        <v>192</v>
      </c>
      <c r="G29" s="15" t="s">
        <v>193</v>
      </c>
      <c r="H29" s="11" t="s">
        <v>72</v>
      </c>
      <c r="I29" s="11"/>
      <c r="J29" s="13"/>
    </row>
    <row r="30" ht="18" spans="1:10">
      <c r="A30" s="11" t="s">
        <v>12</v>
      </c>
      <c r="B30" s="12" t="s">
        <v>120</v>
      </c>
      <c r="C30" s="16" t="str">
        <f>VLOOKUP(Tabla2[[#This Row],[Ámbito]],Tabla14[[Ámbito]:[Código]],2,FALSE)&amp;"-"&amp;Tabla2[[#This Row],[Numeración]]</f>
        <v>CYS-010</v>
      </c>
      <c r="D30" s="11" t="s">
        <v>194</v>
      </c>
      <c r="E30" s="14" t="s">
        <v>195</v>
      </c>
      <c r="F30" s="15" t="s">
        <v>196</v>
      </c>
      <c r="G30" s="15" t="s">
        <v>197</v>
      </c>
      <c r="H30" s="11" t="s">
        <v>72</v>
      </c>
      <c r="I30" s="11"/>
      <c r="J30" s="13"/>
    </row>
    <row r="31" ht="18" spans="1:10">
      <c r="A31" s="11" t="s">
        <v>12</v>
      </c>
      <c r="B31" s="12" t="s">
        <v>125</v>
      </c>
      <c r="C31" s="16" t="str">
        <f>VLOOKUP(Tabla2[[#This Row],[Ámbito]],Tabla14[[Ámbito]:[Código]],2,FALSE)&amp;"-"&amp;Tabla2[[#This Row],[Numeración]]</f>
        <v>CYS-011</v>
      </c>
      <c r="D31" s="11" t="s">
        <v>198</v>
      </c>
      <c r="E31" s="14" t="s">
        <v>199</v>
      </c>
      <c r="F31" s="15" t="s">
        <v>200</v>
      </c>
      <c r="G31" s="15" t="s">
        <v>201</v>
      </c>
      <c r="H31" s="11" t="s">
        <v>72</v>
      </c>
      <c r="I31" s="11"/>
      <c r="J31" s="13"/>
    </row>
    <row r="32" ht="18" spans="1:10">
      <c r="A32" s="11" t="s">
        <v>12</v>
      </c>
      <c r="B32" s="12" t="s">
        <v>202</v>
      </c>
      <c r="C32" s="16" t="str">
        <f>VLOOKUP(Tabla2[[#This Row],[Ámbito]],Tabla14[[Ámbito]:[Código]],2,FALSE)&amp;"-"&amp;Tabla2[[#This Row],[Numeración]]</f>
        <v>CYS-012</v>
      </c>
      <c r="D32" s="11" t="s">
        <v>203</v>
      </c>
      <c r="E32" s="14" t="s">
        <v>204</v>
      </c>
      <c r="F32" s="15" t="s">
        <v>205</v>
      </c>
      <c r="G32" s="15" t="s">
        <v>206</v>
      </c>
      <c r="H32" s="11" t="s">
        <v>72</v>
      </c>
      <c r="I32" s="11"/>
      <c r="J32" s="13"/>
    </row>
    <row r="33" ht="27" spans="1:10">
      <c r="A33" s="11" t="s">
        <v>12</v>
      </c>
      <c r="B33" s="12" t="s">
        <v>207</v>
      </c>
      <c r="C33" s="16" t="str">
        <f>VLOOKUP(Tabla2[[#This Row],[Ámbito]],Tabla14[[Ámbito]:[Código]],2,FALSE)&amp;"-"&amp;Tabla2[[#This Row],[Numeración]]</f>
        <v>CYS-013</v>
      </c>
      <c r="D33" s="11" t="s">
        <v>208</v>
      </c>
      <c r="E33" s="14" t="s">
        <v>209</v>
      </c>
      <c r="F33" s="15" t="s">
        <v>210</v>
      </c>
      <c r="G33" s="15" t="s">
        <v>211</v>
      </c>
      <c r="H33" s="11" t="s">
        <v>72</v>
      </c>
      <c r="I33" s="11"/>
      <c r="J33" s="13"/>
    </row>
    <row r="34" ht="27" spans="1:10">
      <c r="A34" s="11" t="s">
        <v>12</v>
      </c>
      <c r="B34" s="12" t="s">
        <v>212</v>
      </c>
      <c r="C34" s="16" t="str">
        <f>VLOOKUP(Tabla2[[#This Row],[Ámbito]],Tabla14[[Ámbito]:[Código]],2,FALSE)&amp;"-"&amp;Tabla2[[#This Row],[Numeración]]</f>
        <v>CYS-014</v>
      </c>
      <c r="D34" s="11" t="s">
        <v>213</v>
      </c>
      <c r="E34" s="14" t="s">
        <v>214</v>
      </c>
      <c r="F34" s="15" t="s">
        <v>215</v>
      </c>
      <c r="G34" s="15" t="s">
        <v>216</v>
      </c>
      <c r="H34" s="11" t="s">
        <v>72</v>
      </c>
      <c r="I34" s="11"/>
      <c r="J34" s="13"/>
    </row>
    <row r="35" ht="18" spans="1:10">
      <c r="A35" s="11" t="s">
        <v>12</v>
      </c>
      <c r="B35" s="12" t="s">
        <v>217</v>
      </c>
      <c r="C35" s="16" t="str">
        <f>VLOOKUP(Tabla2[[#This Row],[Ámbito]],Tabla14[[Ámbito]:[Código]],2,FALSE)&amp;"-"&amp;Tabla2[[#This Row],[Numeración]]</f>
        <v>CYS-015</v>
      </c>
      <c r="D35" s="11" t="s">
        <v>218</v>
      </c>
      <c r="E35" s="14" t="s">
        <v>219</v>
      </c>
      <c r="F35" s="15" t="s">
        <v>220</v>
      </c>
      <c r="G35" s="15" t="s">
        <v>221</v>
      </c>
      <c r="H35" s="11" t="s">
        <v>72</v>
      </c>
      <c r="I35" s="11"/>
      <c r="J35" s="13"/>
    </row>
    <row r="36" ht="18" spans="1:10">
      <c r="A36" s="11" t="s">
        <v>14</v>
      </c>
      <c r="B36" s="12" t="s">
        <v>75</v>
      </c>
      <c r="C36" s="16" t="str">
        <f>VLOOKUP(Tabla2[[#This Row],[Ámbito]],Tabla14[[Ámbito]:[Código]],2,FALSE)&amp;"-"&amp;Tabla2[[#This Row],[Numeración]]</f>
        <v>CAS-001</v>
      </c>
      <c r="D36" s="11" t="s">
        <v>222</v>
      </c>
      <c r="E36" s="14" t="s">
        <v>223</v>
      </c>
      <c r="F36" s="15" t="s">
        <v>224</v>
      </c>
      <c r="G36" s="15" t="s">
        <v>225</v>
      </c>
      <c r="H36" s="11" t="s">
        <v>72</v>
      </c>
      <c r="I36" s="11"/>
      <c r="J36" s="13"/>
    </row>
    <row r="37" ht="18" spans="1:10">
      <c r="A37" s="11" t="s">
        <v>14</v>
      </c>
      <c r="B37" s="12" t="s">
        <v>80</v>
      </c>
      <c r="C37" s="16" t="str">
        <f>VLOOKUP(Tabla2[[#This Row],[Ámbito]],Tabla14[[Ámbito]:[Código]],2,FALSE)&amp;"-"&amp;Tabla2[[#This Row],[Numeración]]</f>
        <v>CAS-002</v>
      </c>
      <c r="D37" s="11" t="s">
        <v>226</v>
      </c>
      <c r="E37" s="14" t="s">
        <v>227</v>
      </c>
      <c r="F37" s="15" t="s">
        <v>228</v>
      </c>
      <c r="G37" s="15" t="s">
        <v>229</v>
      </c>
      <c r="H37" s="11" t="s">
        <v>72</v>
      </c>
      <c r="I37" s="11"/>
      <c r="J37" s="13"/>
    </row>
    <row r="38" ht="27" spans="1:10">
      <c r="A38" s="11" t="s">
        <v>14</v>
      </c>
      <c r="B38" s="12" t="s">
        <v>85</v>
      </c>
      <c r="C38" s="16" t="str">
        <f>VLOOKUP(Tabla2[[#This Row],[Ámbito]],Tabla14[[Ámbito]:[Código]],2,FALSE)&amp;"-"&amp;Tabla2[[#This Row],[Numeración]]</f>
        <v>CAS-003</v>
      </c>
      <c r="D38" s="11" t="s">
        <v>230</v>
      </c>
      <c r="E38" s="14" t="s">
        <v>231</v>
      </c>
      <c r="F38" s="15" t="s">
        <v>232</v>
      </c>
      <c r="G38" s="15" t="s">
        <v>233</v>
      </c>
      <c r="H38" s="11" t="s">
        <v>72</v>
      </c>
      <c r="I38" s="11"/>
      <c r="J38" s="13"/>
    </row>
    <row r="39" ht="18" spans="1:10">
      <c r="A39" s="11" t="s">
        <v>14</v>
      </c>
      <c r="B39" s="12" t="s">
        <v>90</v>
      </c>
      <c r="C39" s="16" t="str">
        <f>VLOOKUP(Tabla2[[#This Row],[Ámbito]],Tabla14[[Ámbito]:[Código]],2,FALSE)&amp;"-"&amp;Tabla2[[#This Row],[Numeración]]</f>
        <v>CAS-004</v>
      </c>
      <c r="D39" s="11" t="s">
        <v>234</v>
      </c>
      <c r="E39" s="14" t="s">
        <v>235</v>
      </c>
      <c r="F39" s="15" t="s">
        <v>236</v>
      </c>
      <c r="G39" s="15" t="s">
        <v>237</v>
      </c>
      <c r="H39" s="11" t="s">
        <v>72</v>
      </c>
      <c r="I39" s="11"/>
      <c r="J39" s="13"/>
    </row>
    <row r="40" ht="18" spans="1:10">
      <c r="A40" s="11" t="s">
        <v>14</v>
      </c>
      <c r="B40" s="12" t="s">
        <v>95</v>
      </c>
      <c r="C40" s="16" t="str">
        <f>VLOOKUP(Tabla2[[#This Row],[Ámbito]],Tabla14[[Ámbito]:[Código]],2,FALSE)&amp;"-"&amp;Tabla2[[#This Row],[Numeración]]</f>
        <v>CAS-005</v>
      </c>
      <c r="D40" s="11" t="s">
        <v>238</v>
      </c>
      <c r="E40" s="14" t="s">
        <v>239</v>
      </c>
      <c r="F40" s="15" t="s">
        <v>240</v>
      </c>
      <c r="G40" s="15" t="s">
        <v>241</v>
      </c>
      <c r="H40" s="11" t="s">
        <v>72</v>
      </c>
      <c r="I40" s="11"/>
      <c r="J40" s="13"/>
    </row>
    <row r="41" ht="18" spans="1:10">
      <c r="A41" s="11" t="s">
        <v>14</v>
      </c>
      <c r="B41" s="12" t="s">
        <v>100</v>
      </c>
      <c r="C41" s="16" t="str">
        <f>VLOOKUP(Tabla2[[#This Row],[Ámbito]],Tabla14[[Ámbito]:[Código]],2,FALSE)&amp;"-"&amp;Tabla2[[#This Row],[Numeración]]</f>
        <v>CAS-006</v>
      </c>
      <c r="D41" s="11" t="s">
        <v>242</v>
      </c>
      <c r="E41" s="14" t="s">
        <v>243</v>
      </c>
      <c r="F41" s="15" t="s">
        <v>244</v>
      </c>
      <c r="G41" s="15" t="s">
        <v>245</v>
      </c>
      <c r="H41" s="11" t="s">
        <v>72</v>
      </c>
      <c r="I41" s="11"/>
      <c r="J41" s="13"/>
    </row>
    <row r="42" ht="18" spans="1:10">
      <c r="A42" s="11" t="s">
        <v>14</v>
      </c>
      <c r="B42" s="12" t="s">
        <v>105</v>
      </c>
      <c r="C42" s="16" t="str">
        <f>VLOOKUP(Tabla2[[#This Row],[Ámbito]],Tabla14[[Ámbito]:[Código]],2,FALSE)&amp;"-"&amp;Tabla2[[#This Row],[Numeración]]</f>
        <v>CAS-007</v>
      </c>
      <c r="D42" s="11" t="s">
        <v>246</v>
      </c>
      <c r="E42" s="14" t="s">
        <v>247</v>
      </c>
      <c r="F42" s="15" t="s">
        <v>248</v>
      </c>
      <c r="G42" s="15" t="s">
        <v>249</v>
      </c>
      <c r="H42" s="11" t="s">
        <v>72</v>
      </c>
      <c r="I42" s="11"/>
      <c r="J42" s="13"/>
    </row>
    <row r="43" ht="18" spans="1:10">
      <c r="A43" s="11" t="s">
        <v>14</v>
      </c>
      <c r="B43" s="12" t="s">
        <v>110</v>
      </c>
      <c r="C43" s="16" t="str">
        <f>VLOOKUP(Tabla2[[#This Row],[Ámbito]],Tabla14[[Ámbito]:[Código]],2,FALSE)&amp;"-"&amp;Tabla2[[#This Row],[Numeración]]</f>
        <v>CAS-008</v>
      </c>
      <c r="D43" s="11" t="s">
        <v>250</v>
      </c>
      <c r="E43" s="14" t="s">
        <v>251</v>
      </c>
      <c r="F43" s="15" t="s">
        <v>252</v>
      </c>
      <c r="G43" s="15" t="s">
        <v>253</v>
      </c>
      <c r="H43" s="11" t="s">
        <v>72</v>
      </c>
      <c r="I43" s="11"/>
      <c r="J43" s="13"/>
    </row>
    <row r="44" ht="27" spans="1:10">
      <c r="A44" s="11" t="s">
        <v>14</v>
      </c>
      <c r="B44" s="12" t="s">
        <v>115</v>
      </c>
      <c r="C44" s="16" t="str">
        <f>VLOOKUP(Tabla2[[#This Row],[Ámbito]],Tabla14[[Ámbito]:[Código]],2,FALSE)&amp;"-"&amp;Tabla2[[#This Row],[Numeración]]</f>
        <v>CAS-009</v>
      </c>
      <c r="D44" s="11" t="s">
        <v>254</v>
      </c>
      <c r="E44" s="14" t="s">
        <v>255</v>
      </c>
      <c r="F44" s="15" t="s">
        <v>256</v>
      </c>
      <c r="G44" s="15" t="s">
        <v>257</v>
      </c>
      <c r="H44" s="11" t="s">
        <v>72</v>
      </c>
      <c r="I44" s="11"/>
      <c r="J44" s="13"/>
    </row>
    <row r="45" ht="18" spans="1:10">
      <c r="A45" s="11" t="s">
        <v>14</v>
      </c>
      <c r="B45" s="12" t="s">
        <v>120</v>
      </c>
      <c r="C45" s="16" t="str">
        <f>VLOOKUP(Tabla2[[#This Row],[Ámbito]],Tabla14[[Ámbito]:[Código]],2,FALSE)&amp;"-"&amp;Tabla2[[#This Row],[Numeración]]</f>
        <v>CAS-010</v>
      </c>
      <c r="D45" s="11" t="s">
        <v>258</v>
      </c>
      <c r="E45" s="14" t="s">
        <v>259</v>
      </c>
      <c r="F45" s="15" t="s">
        <v>260</v>
      </c>
      <c r="G45" s="15" t="s">
        <v>261</v>
      </c>
      <c r="H45" s="11" t="s">
        <v>72</v>
      </c>
      <c r="I45" s="11"/>
      <c r="J45" s="13"/>
    </row>
    <row r="46" ht="18" spans="1:10">
      <c r="A46" s="11" t="s">
        <v>14</v>
      </c>
      <c r="B46" s="12" t="s">
        <v>125</v>
      </c>
      <c r="C46" s="16" t="str">
        <f>VLOOKUP(Tabla2[[#This Row],[Ámbito]],Tabla14[[Ámbito]:[Código]],2,FALSE)&amp;"-"&amp;Tabla2[[#This Row],[Numeración]]</f>
        <v>CAS-011</v>
      </c>
      <c r="D46" s="11" t="s">
        <v>262</v>
      </c>
      <c r="E46" s="14" t="s">
        <v>263</v>
      </c>
      <c r="F46" s="15" t="s">
        <v>264</v>
      </c>
      <c r="G46" s="15" t="s">
        <v>265</v>
      </c>
      <c r="H46" s="11" t="s">
        <v>72</v>
      </c>
      <c r="I46" s="11"/>
      <c r="J46" s="13"/>
    </row>
    <row r="47" ht="27" spans="1:10">
      <c r="A47" s="11" t="s">
        <v>14</v>
      </c>
      <c r="B47" s="12" t="s">
        <v>202</v>
      </c>
      <c r="C47" s="16" t="str">
        <f>VLOOKUP(Tabla2[[#This Row],[Ámbito]],Tabla14[[Ámbito]:[Código]],2,FALSE)&amp;"-"&amp;Tabla2[[#This Row],[Numeración]]</f>
        <v>CAS-012</v>
      </c>
      <c r="D47" s="11" t="s">
        <v>266</v>
      </c>
      <c r="E47" s="14" t="s">
        <v>267</v>
      </c>
      <c r="F47" s="15" t="s">
        <v>268</v>
      </c>
      <c r="G47" s="15" t="s">
        <v>269</v>
      </c>
      <c r="H47" s="11" t="s">
        <v>72</v>
      </c>
      <c r="I47" s="11"/>
      <c r="J47" s="13"/>
    </row>
    <row r="48" ht="27" spans="1:10">
      <c r="A48" s="11" t="s">
        <v>14</v>
      </c>
      <c r="B48" s="12" t="s">
        <v>207</v>
      </c>
      <c r="C48" s="16" t="str">
        <f>VLOOKUP(Tabla2[[#This Row],[Ámbito]],Tabla14[[Ámbito]:[Código]],2,FALSE)&amp;"-"&amp;Tabla2[[#This Row],[Numeración]]</f>
        <v>CAS-013</v>
      </c>
      <c r="D48" s="11" t="s">
        <v>270</v>
      </c>
      <c r="E48" s="14" t="s">
        <v>271</v>
      </c>
      <c r="F48" s="15" t="s">
        <v>272</v>
      </c>
      <c r="G48" s="15" t="s">
        <v>273</v>
      </c>
      <c r="H48" s="11" t="s">
        <v>72</v>
      </c>
      <c r="I48" s="11"/>
      <c r="J48" s="13"/>
    </row>
    <row r="49" ht="18" spans="1:10">
      <c r="A49" s="11" t="s">
        <v>16</v>
      </c>
      <c r="B49" s="12" t="s">
        <v>75</v>
      </c>
      <c r="C49" s="16" t="str">
        <f>VLOOKUP(Tabla2[[#This Row],[Ámbito]],Tabla14[[Ámbito]:[Código]],2,FALSE)&amp;"-"&amp;Tabla2[[#This Row],[Numeración]]</f>
        <v>CAU-001</v>
      </c>
      <c r="D49" s="11" t="s">
        <v>274</v>
      </c>
      <c r="E49" s="14" t="s">
        <v>275</v>
      </c>
      <c r="F49" s="15" t="s">
        <v>276</v>
      </c>
      <c r="G49" s="15" t="s">
        <v>277</v>
      </c>
      <c r="H49" s="11" t="s">
        <v>72</v>
      </c>
      <c r="I49" s="11"/>
      <c r="J49" s="13"/>
    </row>
    <row r="50" spans="1:10">
      <c r="A50" s="11" t="s">
        <v>16</v>
      </c>
      <c r="B50" s="12" t="s">
        <v>80</v>
      </c>
      <c r="C50" s="16" t="str">
        <f>VLOOKUP(Tabla2[[#This Row],[Ámbito]],Tabla14[[Ámbito]:[Código]],2,FALSE)&amp;"-"&amp;Tabla2[[#This Row],[Numeración]]</f>
        <v>CAU-002</v>
      </c>
      <c r="D50" s="11" t="s">
        <v>278</v>
      </c>
      <c r="E50" s="14" t="s">
        <v>279</v>
      </c>
      <c r="F50" s="15" t="s">
        <v>280</v>
      </c>
      <c r="G50" s="15" t="s">
        <v>281</v>
      </c>
      <c r="H50" s="11" t="s">
        <v>72</v>
      </c>
      <c r="I50" s="11"/>
      <c r="J50" s="13"/>
    </row>
    <row r="51" ht="18" spans="1:10">
      <c r="A51" s="11" t="s">
        <v>16</v>
      </c>
      <c r="B51" s="12" t="s">
        <v>85</v>
      </c>
      <c r="C51" s="16" t="str">
        <f>VLOOKUP(Tabla2[[#This Row],[Ámbito]],Tabla14[[Ámbito]:[Código]],2,FALSE)&amp;"-"&amp;Tabla2[[#This Row],[Numeración]]</f>
        <v>CAU-003</v>
      </c>
      <c r="D51" s="11" t="s">
        <v>282</v>
      </c>
      <c r="E51" s="14" t="s">
        <v>283</v>
      </c>
      <c r="F51" s="15" t="s">
        <v>284</v>
      </c>
      <c r="G51" s="15" t="s">
        <v>285</v>
      </c>
      <c r="H51" s="11" t="s">
        <v>72</v>
      </c>
      <c r="I51" s="11"/>
      <c r="J51" s="13"/>
    </row>
    <row r="52" ht="18" spans="1:10">
      <c r="A52" s="11" t="s">
        <v>16</v>
      </c>
      <c r="B52" s="12" t="s">
        <v>90</v>
      </c>
      <c r="C52" s="16" t="str">
        <f>VLOOKUP(Tabla2[[#This Row],[Ámbito]],Tabla14[[Ámbito]:[Código]],2,FALSE)&amp;"-"&amp;Tabla2[[#This Row],[Numeración]]</f>
        <v>CAU-004</v>
      </c>
      <c r="D52" s="11" t="s">
        <v>286</v>
      </c>
      <c r="E52" s="14" t="s">
        <v>287</v>
      </c>
      <c r="F52" s="15" t="s">
        <v>288</v>
      </c>
      <c r="G52" s="15" t="s">
        <v>289</v>
      </c>
      <c r="H52" s="11" t="s">
        <v>72</v>
      </c>
      <c r="I52" s="11"/>
      <c r="J52" s="13"/>
    </row>
    <row r="53" ht="18" spans="1:10">
      <c r="A53" s="11" t="s">
        <v>16</v>
      </c>
      <c r="B53" s="12" t="s">
        <v>95</v>
      </c>
      <c r="C53" s="16" t="str">
        <f>VLOOKUP(Tabla2[[#This Row],[Ámbito]],Tabla14[[Ámbito]:[Código]],2,FALSE)&amp;"-"&amp;Tabla2[[#This Row],[Numeración]]</f>
        <v>CAU-005</v>
      </c>
      <c r="D53" s="11" t="s">
        <v>290</v>
      </c>
      <c r="E53" s="14" t="s">
        <v>291</v>
      </c>
      <c r="F53" s="15" t="s">
        <v>292</v>
      </c>
      <c r="G53" s="15" t="s">
        <v>293</v>
      </c>
      <c r="H53" s="11" t="s">
        <v>72</v>
      </c>
      <c r="I53" s="11"/>
      <c r="J53" s="13"/>
    </row>
    <row r="54" ht="27" spans="1:10">
      <c r="A54" s="11" t="s">
        <v>16</v>
      </c>
      <c r="B54" s="12" t="s">
        <v>100</v>
      </c>
      <c r="C54" s="16" t="str">
        <f>VLOOKUP(Tabla2[[#This Row],[Ámbito]],Tabla14[[Ámbito]:[Código]],2,FALSE)&amp;"-"&amp;Tabla2[[#This Row],[Numeración]]</f>
        <v>CAU-006</v>
      </c>
      <c r="D54" s="11" t="s">
        <v>294</v>
      </c>
      <c r="E54" s="14" t="s">
        <v>295</v>
      </c>
      <c r="F54" s="15" t="s">
        <v>296</v>
      </c>
      <c r="G54" s="15" t="s">
        <v>297</v>
      </c>
      <c r="H54" s="11" t="s">
        <v>72</v>
      </c>
      <c r="I54" s="11"/>
      <c r="J54" s="13"/>
    </row>
    <row r="55" ht="18" spans="1:10">
      <c r="A55" s="11" t="s">
        <v>16</v>
      </c>
      <c r="B55" s="12" t="s">
        <v>105</v>
      </c>
      <c r="C55" s="16" t="str">
        <f>VLOOKUP(Tabla2[[#This Row],[Ámbito]],Tabla14[[Ámbito]:[Código]],2,FALSE)&amp;"-"&amp;Tabla2[[#This Row],[Numeración]]</f>
        <v>CAU-007</v>
      </c>
      <c r="D55" s="11" t="s">
        <v>298</v>
      </c>
      <c r="E55" s="14" t="s">
        <v>299</v>
      </c>
      <c r="F55" s="15" t="s">
        <v>300</v>
      </c>
      <c r="G55" s="15" t="s">
        <v>301</v>
      </c>
      <c r="H55" s="11" t="s">
        <v>72</v>
      </c>
      <c r="I55" s="11"/>
      <c r="J55" s="13"/>
    </row>
    <row r="56" ht="27" spans="1:10">
      <c r="A56" s="11" t="s">
        <v>16</v>
      </c>
      <c r="B56" s="12" t="s">
        <v>110</v>
      </c>
      <c r="C56" s="16" t="str">
        <f>VLOOKUP(Tabla2[[#This Row],[Ámbito]],Tabla14[[Ámbito]:[Código]],2,FALSE)&amp;"-"&amp;Tabla2[[#This Row],[Numeración]]</f>
        <v>CAU-008</v>
      </c>
      <c r="D56" s="11" t="s">
        <v>302</v>
      </c>
      <c r="E56" s="14" t="s">
        <v>303</v>
      </c>
      <c r="F56" s="15" t="s">
        <v>304</v>
      </c>
      <c r="G56" s="15" t="s">
        <v>305</v>
      </c>
      <c r="H56" s="11" t="s">
        <v>72</v>
      </c>
      <c r="I56" s="11"/>
      <c r="J56" s="13"/>
    </row>
    <row r="57" ht="18" spans="1:10">
      <c r="A57" s="11" t="s">
        <v>16</v>
      </c>
      <c r="B57" s="12" t="s">
        <v>115</v>
      </c>
      <c r="C57" s="16" t="str">
        <f>VLOOKUP(Tabla2[[#This Row],[Ámbito]],Tabla14[[Ámbito]:[Código]],2,FALSE)&amp;"-"&amp;Tabla2[[#This Row],[Numeración]]</f>
        <v>CAU-009</v>
      </c>
      <c r="D57" s="11" t="s">
        <v>306</v>
      </c>
      <c r="E57" s="14" t="s">
        <v>307</v>
      </c>
      <c r="F57" s="15" t="s">
        <v>308</v>
      </c>
      <c r="G57" s="15" t="s">
        <v>309</v>
      </c>
      <c r="H57" s="11" t="s">
        <v>72</v>
      </c>
      <c r="I57" s="11"/>
      <c r="J57" s="13"/>
    </row>
    <row r="58" ht="18" spans="1:10">
      <c r="A58" s="11" t="s">
        <v>16</v>
      </c>
      <c r="B58" s="12" t="s">
        <v>120</v>
      </c>
      <c r="C58" s="16" t="str">
        <f>VLOOKUP(Tabla2[[#This Row],[Ámbito]],Tabla14[[Ámbito]:[Código]],2,FALSE)&amp;"-"&amp;Tabla2[[#This Row],[Numeración]]</f>
        <v>CAU-010</v>
      </c>
      <c r="D58" s="11" t="s">
        <v>310</v>
      </c>
      <c r="E58" s="14" t="s">
        <v>311</v>
      </c>
      <c r="F58" s="15" t="s">
        <v>312</v>
      </c>
      <c r="G58" s="15" t="s">
        <v>313</v>
      </c>
      <c r="H58" s="11" t="s">
        <v>72</v>
      </c>
      <c r="I58" s="11"/>
      <c r="J58" s="13"/>
    </row>
    <row r="59" ht="18" spans="1:10">
      <c r="A59" s="11" t="s">
        <v>16</v>
      </c>
      <c r="B59" s="12" t="s">
        <v>125</v>
      </c>
      <c r="C59" s="16" t="str">
        <f>VLOOKUP(Tabla2[[#This Row],[Ámbito]],Tabla14[[Ámbito]:[Código]],2,FALSE)&amp;"-"&amp;Tabla2[[#This Row],[Numeración]]</f>
        <v>CAU-011</v>
      </c>
      <c r="D59" s="11" t="s">
        <v>314</v>
      </c>
      <c r="E59" s="14" t="s">
        <v>315</v>
      </c>
      <c r="F59" s="15" t="s">
        <v>316</v>
      </c>
      <c r="G59" s="15" t="s">
        <v>317</v>
      </c>
      <c r="H59" s="11" t="s">
        <v>72</v>
      </c>
      <c r="I59" s="11"/>
      <c r="J59" s="13"/>
    </row>
    <row r="60" ht="36" spans="1:10">
      <c r="A60" s="11" t="s">
        <v>17</v>
      </c>
      <c r="B60" s="12" t="s">
        <v>75</v>
      </c>
      <c r="C60" s="16" t="str">
        <f>VLOOKUP(Tabla2[[#This Row],[Ámbito]],Tabla14[[Ámbito]:[Código]],2,FALSE)&amp;"-"&amp;Tabla2[[#This Row],[Numeración]]</f>
        <v>CMA-001</v>
      </c>
      <c r="D60" s="11" t="s">
        <v>318</v>
      </c>
      <c r="E60" s="14" t="s">
        <v>319</v>
      </c>
      <c r="F60" s="15" t="s">
        <v>320</v>
      </c>
      <c r="G60" s="15" t="s">
        <v>321</v>
      </c>
      <c r="H60" s="11" t="s">
        <v>72</v>
      </c>
      <c r="I60" s="11"/>
      <c r="J60" s="13"/>
    </row>
    <row r="61" ht="27" spans="1:10">
      <c r="A61" s="11" t="s">
        <v>17</v>
      </c>
      <c r="B61" s="12" t="s">
        <v>80</v>
      </c>
      <c r="C61" s="16" t="str">
        <f>VLOOKUP(Tabla2[[#This Row],[Ámbito]],Tabla14[[Ámbito]:[Código]],2,FALSE)&amp;"-"&amp;Tabla2[[#This Row],[Numeración]]</f>
        <v>CMA-002</v>
      </c>
      <c r="D61" s="11" t="s">
        <v>322</v>
      </c>
      <c r="E61" s="14" t="s">
        <v>323</v>
      </c>
      <c r="F61" s="15" t="s">
        <v>324</v>
      </c>
      <c r="G61" s="15" t="s">
        <v>325</v>
      </c>
      <c r="H61" s="11" t="s">
        <v>72</v>
      </c>
      <c r="I61" s="11"/>
      <c r="J61" s="13"/>
    </row>
    <row r="62" ht="27" spans="1:10">
      <c r="A62" s="11" t="s">
        <v>17</v>
      </c>
      <c r="B62" s="12" t="s">
        <v>85</v>
      </c>
      <c r="C62" s="16" t="str">
        <f>VLOOKUP(Tabla2[[#This Row],[Ámbito]],Tabla14[[Ámbito]:[Código]],2,FALSE)&amp;"-"&amp;Tabla2[[#This Row],[Numeración]]</f>
        <v>CMA-003</v>
      </c>
      <c r="D62" s="11" t="s">
        <v>326</v>
      </c>
      <c r="E62" s="14" t="s">
        <v>327</v>
      </c>
      <c r="F62" s="15" t="s">
        <v>328</v>
      </c>
      <c r="G62" s="15" t="s">
        <v>329</v>
      </c>
      <c r="H62" s="11" t="s">
        <v>72</v>
      </c>
      <c r="I62" s="11"/>
      <c r="J62" s="13"/>
    </row>
    <row r="63" ht="27" spans="1:10">
      <c r="A63" s="11" t="s">
        <v>17</v>
      </c>
      <c r="B63" s="12" t="s">
        <v>90</v>
      </c>
      <c r="C63" s="16" t="str">
        <f>VLOOKUP(Tabla2[[#This Row],[Ámbito]],Tabla14[[Ámbito]:[Código]],2,FALSE)&amp;"-"&amp;Tabla2[[#This Row],[Numeración]]</f>
        <v>CMA-004</v>
      </c>
      <c r="D63" s="11" t="s">
        <v>330</v>
      </c>
      <c r="E63" s="14" t="s">
        <v>331</v>
      </c>
      <c r="F63" s="15" t="s">
        <v>332</v>
      </c>
      <c r="G63" s="15" t="s">
        <v>333</v>
      </c>
      <c r="H63" s="11" t="s">
        <v>72</v>
      </c>
      <c r="I63" s="11"/>
      <c r="J63" s="13"/>
    </row>
    <row r="64" ht="18" spans="1:10">
      <c r="A64" s="11" t="s">
        <v>17</v>
      </c>
      <c r="B64" s="12" t="s">
        <v>95</v>
      </c>
      <c r="C64" s="16" t="str">
        <f>VLOOKUP(Tabla2[[#This Row],[Ámbito]],Tabla14[[Ámbito]:[Código]],2,FALSE)&amp;"-"&amp;Tabla2[[#This Row],[Numeración]]</f>
        <v>CMA-005</v>
      </c>
      <c r="D64" s="11" t="s">
        <v>334</v>
      </c>
      <c r="E64" s="14" t="s">
        <v>335</v>
      </c>
      <c r="F64" s="15" t="s">
        <v>336</v>
      </c>
      <c r="G64" s="15" t="s">
        <v>337</v>
      </c>
      <c r="H64" s="11" t="s">
        <v>72</v>
      </c>
      <c r="I64" s="11"/>
      <c r="J64" s="13"/>
    </row>
    <row r="65" ht="27" spans="1:10">
      <c r="A65" s="11" t="s">
        <v>17</v>
      </c>
      <c r="B65" s="12" t="s">
        <v>100</v>
      </c>
      <c r="C65" s="16" t="str">
        <f>VLOOKUP(Tabla2[[#This Row],[Ámbito]],Tabla14[[Ámbito]:[Código]],2,FALSE)&amp;"-"&amp;Tabla2[[#This Row],[Numeración]]</f>
        <v>CMA-006</v>
      </c>
      <c r="D65" s="11" t="s">
        <v>338</v>
      </c>
      <c r="E65" s="14" t="s">
        <v>339</v>
      </c>
      <c r="F65" s="15" t="s">
        <v>340</v>
      </c>
      <c r="G65" s="15" t="s">
        <v>341</v>
      </c>
      <c r="H65" s="11" t="s">
        <v>72</v>
      </c>
      <c r="I65" s="11"/>
      <c r="J65" s="13"/>
    </row>
    <row r="66" ht="27" spans="1:10">
      <c r="A66" s="11" t="s">
        <v>17</v>
      </c>
      <c r="B66" s="12" t="s">
        <v>105</v>
      </c>
      <c r="C66" s="16" t="str">
        <f>VLOOKUP(Tabla2[[#This Row],[Ámbito]],Tabla14[[Ámbito]:[Código]],2,FALSE)&amp;"-"&amp;Tabla2[[#This Row],[Numeración]]</f>
        <v>CMA-007</v>
      </c>
      <c r="D66" s="11" t="s">
        <v>342</v>
      </c>
      <c r="E66" s="14" t="s">
        <v>343</v>
      </c>
      <c r="F66" s="15" t="s">
        <v>344</v>
      </c>
      <c r="G66" s="15" t="s">
        <v>345</v>
      </c>
      <c r="H66" s="11" t="s">
        <v>72</v>
      </c>
      <c r="I66" s="11"/>
      <c r="J66" s="13"/>
    </row>
    <row r="67" ht="27" spans="1:10">
      <c r="A67" s="11" t="s">
        <v>29</v>
      </c>
      <c r="B67" s="12" t="s">
        <v>75</v>
      </c>
      <c r="C67" s="16" t="str">
        <f>VLOOKUP(Tabla2[[#This Row],[Ámbito]],Tabla14[[Ámbito]:[Código]],2,FALSE)&amp;"-"&amp;Tabla2[[#This Row],[Numeración]]</f>
        <v>OPM-001</v>
      </c>
      <c r="D67" s="11" t="s">
        <v>346</v>
      </c>
      <c r="E67" s="14" t="s">
        <v>347</v>
      </c>
      <c r="F67" s="15" t="s">
        <v>348</v>
      </c>
      <c r="G67" s="15" t="s">
        <v>349</v>
      </c>
      <c r="H67" s="11" t="s">
        <v>72</v>
      </c>
      <c r="I67" s="11"/>
      <c r="J67" s="13" t="s">
        <v>134</v>
      </c>
    </row>
    <row r="68" ht="27" spans="1:10">
      <c r="A68" s="11" t="s">
        <v>29</v>
      </c>
      <c r="B68" s="12" t="s">
        <v>80</v>
      </c>
      <c r="C68" s="16" t="str">
        <f>VLOOKUP(Tabla2[[#This Row],[Ámbito]],Tabla14[[Ámbito]:[Código]],2,FALSE)&amp;"-"&amp;Tabla2[[#This Row],[Numeración]]</f>
        <v>OPM-002</v>
      </c>
      <c r="D68" s="11" t="s">
        <v>338</v>
      </c>
      <c r="E68" s="14" t="s">
        <v>339</v>
      </c>
      <c r="F68" s="15" t="s">
        <v>350</v>
      </c>
      <c r="G68" s="15" t="s">
        <v>341</v>
      </c>
      <c r="H68" s="11" t="s">
        <v>72</v>
      </c>
      <c r="I68" s="11"/>
      <c r="J68" s="13" t="s">
        <v>134</v>
      </c>
    </row>
    <row r="69" ht="27" spans="1:10">
      <c r="A69" s="11" t="s">
        <v>29</v>
      </c>
      <c r="B69" s="12" t="s">
        <v>85</v>
      </c>
      <c r="C69" s="16" t="str">
        <f>VLOOKUP(Tabla2[[#This Row],[Ámbito]],Tabla14[[Ámbito]:[Código]],2,FALSE)&amp;"-"&amp;Tabla2[[#This Row],[Numeración]]</f>
        <v>OPM-003</v>
      </c>
      <c r="D69" s="11" t="s">
        <v>351</v>
      </c>
      <c r="E69" s="14" t="s">
        <v>352</v>
      </c>
      <c r="F69" s="15" t="s">
        <v>332</v>
      </c>
      <c r="G69" s="15" t="s">
        <v>353</v>
      </c>
      <c r="H69" s="11" t="s">
        <v>72</v>
      </c>
      <c r="I69" s="11"/>
      <c r="J69" s="13" t="s">
        <v>134</v>
      </c>
    </row>
    <row r="70" ht="18" spans="1:10">
      <c r="A70" s="11" t="s">
        <v>29</v>
      </c>
      <c r="B70" s="12" t="s">
        <v>90</v>
      </c>
      <c r="C70" s="16" t="str">
        <f>VLOOKUP(Tabla2[[#This Row],[Ámbito]],Tabla14[[Ámbito]:[Código]],2,FALSE)&amp;"-"&amp;Tabla2[[#This Row],[Numeración]]</f>
        <v>OPM-004</v>
      </c>
      <c r="D70" s="11" t="s">
        <v>354</v>
      </c>
      <c r="E70" s="14" t="s">
        <v>355</v>
      </c>
      <c r="F70" s="15" t="s">
        <v>356</v>
      </c>
      <c r="G70" s="15" t="s">
        <v>357</v>
      </c>
      <c r="H70" s="11" t="s">
        <v>72</v>
      </c>
      <c r="I70" s="11"/>
      <c r="J70" s="13" t="s">
        <v>134</v>
      </c>
    </row>
    <row r="71" ht="18" spans="1:10">
      <c r="A71" s="11" t="s">
        <v>29</v>
      </c>
      <c r="B71" s="12" t="s">
        <v>95</v>
      </c>
      <c r="C71" s="16" t="str">
        <f>VLOOKUP(Tabla2[[#This Row],[Ámbito]],Tabla14[[Ámbito]:[Código]],2,FALSE)&amp;"-"&amp;Tabla2[[#This Row],[Numeración]]</f>
        <v>OPM-005</v>
      </c>
      <c r="D71" s="11" t="s">
        <v>358</v>
      </c>
      <c r="E71" s="14" t="s">
        <v>359</v>
      </c>
      <c r="F71" s="15" t="s">
        <v>288</v>
      </c>
      <c r="G71" s="15" t="s">
        <v>360</v>
      </c>
      <c r="H71" s="11" t="s">
        <v>72</v>
      </c>
      <c r="I71" s="11"/>
      <c r="J71" s="13" t="s">
        <v>134</v>
      </c>
    </row>
    <row r="72" ht="45" spans="1:10">
      <c r="A72" s="11" t="s">
        <v>29</v>
      </c>
      <c r="B72" s="12" t="s">
        <v>100</v>
      </c>
      <c r="C72" s="16" t="str">
        <f>VLOOKUP(Tabla2[[#This Row],[Ámbito]],Tabla14[[Ámbito]:[Código]],2,FALSE)&amp;"-"&amp;Tabla2[[#This Row],[Numeración]]</f>
        <v>OPM-006</v>
      </c>
      <c r="D72" s="11" t="s">
        <v>361</v>
      </c>
      <c r="E72" s="14" t="s">
        <v>362</v>
      </c>
      <c r="F72" s="15" t="s">
        <v>363</v>
      </c>
      <c r="G72" s="15" t="s">
        <v>364</v>
      </c>
      <c r="H72" s="11" t="s">
        <v>72</v>
      </c>
      <c r="I72" s="11"/>
      <c r="J72" s="13" t="s">
        <v>134</v>
      </c>
    </row>
    <row r="73" ht="54" spans="1:10">
      <c r="A73" s="11" t="s">
        <v>29</v>
      </c>
      <c r="B73" s="12" t="s">
        <v>105</v>
      </c>
      <c r="C73" s="16" t="str">
        <f>VLOOKUP(Tabla2[[#This Row],[Ámbito]],Tabla14[[Ámbito]:[Código]],2,FALSE)&amp;"-"&amp;Tabla2[[#This Row],[Numeración]]</f>
        <v>OPM-007</v>
      </c>
      <c r="D73" s="11" t="s">
        <v>365</v>
      </c>
      <c r="E73" s="14" t="s">
        <v>366</v>
      </c>
      <c r="F73" s="15" t="s">
        <v>367</v>
      </c>
      <c r="G73" s="15" t="s">
        <v>368</v>
      </c>
      <c r="H73" s="11" t="s">
        <v>72</v>
      </c>
      <c r="I73" s="11"/>
      <c r="J73" s="13" t="s">
        <v>134</v>
      </c>
    </row>
    <row r="74" ht="36" spans="1:10">
      <c r="A74" s="11" t="s">
        <v>29</v>
      </c>
      <c r="B74" s="12" t="s">
        <v>110</v>
      </c>
      <c r="C74" s="16" t="str">
        <f>VLOOKUP(Tabla2[[#This Row],[Ámbito]],Tabla14[[Ámbito]:[Código]],2,FALSE)&amp;"-"&amp;Tabla2[[#This Row],[Numeración]]</f>
        <v>OPM-008</v>
      </c>
      <c r="D74" s="11" t="s">
        <v>369</v>
      </c>
      <c r="E74" s="14" t="s">
        <v>370</v>
      </c>
      <c r="F74" s="15" t="s">
        <v>371</v>
      </c>
      <c r="G74" s="15" t="s">
        <v>372</v>
      </c>
      <c r="H74" s="11" t="s">
        <v>72</v>
      </c>
      <c r="I74" s="11"/>
      <c r="J74" s="13" t="s">
        <v>134</v>
      </c>
    </row>
    <row r="75" ht="18" spans="1:10">
      <c r="A75" s="11" t="s">
        <v>29</v>
      </c>
      <c r="B75" s="12" t="s">
        <v>115</v>
      </c>
      <c r="C75" s="16" t="str">
        <f>VLOOKUP(Tabla2[[#This Row],[Ámbito]],Tabla14[[Ámbito]:[Código]],2,FALSE)&amp;"-"&amp;Tabla2[[#This Row],[Numeración]]</f>
        <v>OPM-009</v>
      </c>
      <c r="D75" s="11" t="s">
        <v>373</v>
      </c>
      <c r="E75" s="14" t="s">
        <v>374</v>
      </c>
      <c r="F75" s="15" t="s">
        <v>375</v>
      </c>
      <c r="G75" s="15" t="s">
        <v>376</v>
      </c>
      <c r="H75" s="11" t="s">
        <v>72</v>
      </c>
      <c r="I75" s="11"/>
      <c r="J75" s="13" t="s">
        <v>134</v>
      </c>
    </row>
    <row r="76" ht="54" spans="1:10">
      <c r="A76" s="11" t="s">
        <v>31</v>
      </c>
      <c r="B76" s="12" t="s">
        <v>75</v>
      </c>
      <c r="C76" s="16" t="str">
        <f>VLOOKUP(Tabla2[[#This Row],[Ámbito]],Tabla14[[Ámbito]:[Código]],2,FALSE)&amp;"-"&amp;Tabla2[[#This Row],[Numeración]]</f>
        <v>PMO-001</v>
      </c>
      <c r="D76" s="11" t="s">
        <v>377</v>
      </c>
      <c r="E76" s="14" t="s">
        <v>378</v>
      </c>
      <c r="F76" s="15" t="s">
        <v>379</v>
      </c>
      <c r="G76" s="15" t="s">
        <v>380</v>
      </c>
      <c r="H76" s="11" t="s">
        <v>72</v>
      </c>
      <c r="I76" s="11"/>
      <c r="J76" s="13"/>
    </row>
    <row r="77" ht="18" spans="1:10">
      <c r="A77" s="11" t="s">
        <v>31</v>
      </c>
      <c r="B77" s="12" t="s">
        <v>80</v>
      </c>
      <c r="C77" s="16" t="str">
        <f>VLOOKUP(Tabla2[[#This Row],[Ámbito]],Tabla14[[Ámbito]:[Código]],2,FALSE)&amp;"-"&amp;Tabla2[[#This Row],[Numeración]]</f>
        <v>PMO-002</v>
      </c>
      <c r="D77" s="11" t="s">
        <v>381</v>
      </c>
      <c r="E77" s="14" t="s">
        <v>382</v>
      </c>
      <c r="F77" s="15" t="s">
        <v>205</v>
      </c>
      <c r="G77" s="15" t="s">
        <v>383</v>
      </c>
      <c r="H77" s="11" t="s">
        <v>72</v>
      </c>
      <c r="I77" s="11"/>
      <c r="J77" s="13"/>
    </row>
    <row r="78" ht="27" spans="1:10">
      <c r="A78" s="11" t="s">
        <v>31</v>
      </c>
      <c r="B78" s="12" t="s">
        <v>85</v>
      </c>
      <c r="C78" s="16" t="str">
        <f>VLOOKUP(Tabla2[[#This Row],[Ámbito]],Tabla14[[Ámbito]:[Código]],2,FALSE)&amp;"-"&amp;Tabla2[[#This Row],[Numeración]]</f>
        <v>PMO-003</v>
      </c>
      <c r="D78" s="11" t="s">
        <v>384</v>
      </c>
      <c r="E78" s="14" t="s">
        <v>385</v>
      </c>
      <c r="F78" s="15" t="s">
        <v>386</v>
      </c>
      <c r="G78" s="15" t="s">
        <v>387</v>
      </c>
      <c r="H78" s="11" t="s">
        <v>72</v>
      </c>
      <c r="I78" s="11"/>
      <c r="J78" s="13"/>
    </row>
    <row r="79" ht="27" spans="1:10">
      <c r="A79" s="11" t="s">
        <v>31</v>
      </c>
      <c r="B79" s="12" t="s">
        <v>90</v>
      </c>
      <c r="C79" s="16" t="str">
        <f>VLOOKUP(Tabla2[[#This Row],[Ámbito]],Tabla14[[Ámbito]:[Código]],2,FALSE)&amp;"-"&amp;Tabla2[[#This Row],[Numeración]]</f>
        <v>PMO-004</v>
      </c>
      <c r="D79" s="11" t="s">
        <v>388</v>
      </c>
      <c r="E79" s="14" t="s">
        <v>389</v>
      </c>
      <c r="F79" s="15" t="s">
        <v>390</v>
      </c>
      <c r="G79" s="15" t="s">
        <v>391</v>
      </c>
      <c r="H79" s="11" t="s">
        <v>72</v>
      </c>
      <c r="I79" s="11"/>
      <c r="J79" s="13"/>
    </row>
    <row r="80" ht="27" spans="1:10">
      <c r="A80" s="11" t="s">
        <v>31</v>
      </c>
      <c r="B80" s="12" t="s">
        <v>95</v>
      </c>
      <c r="C80" s="16" t="str">
        <f>VLOOKUP(Tabla2[[#This Row],[Ámbito]],Tabla14[[Ámbito]:[Código]],2,FALSE)&amp;"-"&amp;Tabla2[[#This Row],[Numeración]]</f>
        <v>PMO-005</v>
      </c>
      <c r="D80" s="11" t="s">
        <v>392</v>
      </c>
      <c r="E80" s="14" t="s">
        <v>393</v>
      </c>
      <c r="F80" s="15" t="s">
        <v>394</v>
      </c>
      <c r="G80" s="15" t="s">
        <v>395</v>
      </c>
      <c r="H80" s="11" t="s">
        <v>72</v>
      </c>
      <c r="I80" s="11"/>
      <c r="J80" s="13"/>
    </row>
    <row r="81" ht="27" spans="1:10">
      <c r="A81" s="11" t="s">
        <v>31</v>
      </c>
      <c r="B81" s="12" t="s">
        <v>100</v>
      </c>
      <c r="C81" s="16" t="str">
        <f>VLOOKUP(Tabla2[[#This Row],[Ámbito]],Tabla14[[Ámbito]:[Código]],2,FALSE)&amp;"-"&amp;Tabla2[[#This Row],[Numeración]]</f>
        <v>PMO-006</v>
      </c>
      <c r="D81" s="11" t="s">
        <v>396</v>
      </c>
      <c r="E81" s="14" t="s">
        <v>397</v>
      </c>
      <c r="F81" s="15" t="s">
        <v>398</v>
      </c>
      <c r="G81" s="15" t="s">
        <v>399</v>
      </c>
      <c r="H81" s="11" t="s">
        <v>72</v>
      </c>
      <c r="I81" s="11"/>
      <c r="J81" s="13"/>
    </row>
    <row r="82" ht="18" spans="1:10">
      <c r="A82" s="11" t="s">
        <v>31</v>
      </c>
      <c r="B82" s="12" t="s">
        <v>105</v>
      </c>
      <c r="C82" s="16" t="str">
        <f>VLOOKUP(Tabla2[[#This Row],[Ámbito]],Tabla14[[Ámbito]:[Código]],2,FALSE)&amp;"-"&amp;Tabla2[[#This Row],[Numeración]]</f>
        <v>PMO-007</v>
      </c>
      <c r="D82" s="11" t="s">
        <v>400</v>
      </c>
      <c r="E82" s="14" t="s">
        <v>401</v>
      </c>
      <c r="F82" s="15" t="s">
        <v>402</v>
      </c>
      <c r="G82" s="15" t="s">
        <v>403</v>
      </c>
      <c r="H82" s="11" t="s">
        <v>72</v>
      </c>
      <c r="I82" s="11"/>
      <c r="J82" s="13"/>
    </row>
    <row r="83" ht="18" spans="1:10">
      <c r="A83" s="11" t="s">
        <v>31</v>
      </c>
      <c r="B83" s="12" t="s">
        <v>110</v>
      </c>
      <c r="C83" s="16" t="s">
        <v>404</v>
      </c>
      <c r="D83" s="11" t="s">
        <v>405</v>
      </c>
      <c r="E83" s="14" t="s">
        <v>406</v>
      </c>
      <c r="F83" s="15" t="s">
        <v>407</v>
      </c>
      <c r="G83" s="15" t="s">
        <v>408</v>
      </c>
      <c r="H83" s="11" t="s">
        <v>72</v>
      </c>
      <c r="I83" s="11"/>
      <c r="J83" s="13"/>
    </row>
    <row r="84" ht="18" spans="1:10">
      <c r="A84" s="11" t="s">
        <v>31</v>
      </c>
      <c r="B84" s="12" t="s">
        <v>115</v>
      </c>
      <c r="C84" s="16" t="str">
        <f>VLOOKUP(Tabla2[[#This Row],[Ámbito]],Tabla14[[Ámbito]:[Código]],2,FALSE)&amp;"-"&amp;Tabla2[[#This Row],[Numeración]]</f>
        <v>PMO-009</v>
      </c>
      <c r="D84" s="11" t="s">
        <v>409</v>
      </c>
      <c r="E84" s="14" t="s">
        <v>410</v>
      </c>
      <c r="F84" s="15" t="s">
        <v>411</v>
      </c>
      <c r="G84" s="15" t="s">
        <v>412</v>
      </c>
      <c r="H84" s="11" t="s">
        <v>72</v>
      </c>
      <c r="I84" s="11"/>
      <c r="J84" s="13"/>
    </row>
    <row r="85" ht="18" spans="1:10">
      <c r="A85" s="11" t="s">
        <v>31</v>
      </c>
      <c r="B85" s="12" t="s">
        <v>120</v>
      </c>
      <c r="C85" s="16" t="str">
        <f>VLOOKUP(Tabla2[[#This Row],[Ámbito]],Tabla14[[Ámbito]:[Código]],2,FALSE)&amp;"-"&amp;Tabla2[[#This Row],[Numeración]]</f>
        <v>PMO-010</v>
      </c>
      <c r="D85" s="11" t="s">
        <v>413</v>
      </c>
      <c r="E85" s="14" t="s">
        <v>414</v>
      </c>
      <c r="F85" s="15" t="s">
        <v>415</v>
      </c>
      <c r="G85" s="15" t="s">
        <v>416</v>
      </c>
      <c r="H85" s="11" t="s">
        <v>72</v>
      </c>
      <c r="I85" s="11"/>
      <c r="J85" s="13"/>
    </row>
    <row r="86" ht="27" spans="1:10">
      <c r="A86" s="11" t="s">
        <v>34</v>
      </c>
      <c r="B86" s="12" t="s">
        <v>75</v>
      </c>
      <c r="C86" s="16" t="str">
        <f>VLOOKUP(Tabla2[[#This Row],[Ámbito]],Tabla14[[Ámbito]:[Código]],2,FALSE)&amp;"-"&amp;Tabla2[[#This Row],[Numeración]]</f>
        <v>PAO-001</v>
      </c>
      <c r="D86" s="11" t="s">
        <v>417</v>
      </c>
      <c r="E86" s="14" t="s">
        <v>418</v>
      </c>
      <c r="F86" s="15" t="s">
        <v>419</v>
      </c>
      <c r="G86" s="15" t="s">
        <v>420</v>
      </c>
      <c r="H86" s="11" t="s">
        <v>72</v>
      </c>
      <c r="I86" s="11"/>
      <c r="J86" s="13"/>
    </row>
    <row r="87" ht="36" spans="1:10">
      <c r="A87" s="11" t="s">
        <v>34</v>
      </c>
      <c r="B87" s="12" t="s">
        <v>80</v>
      </c>
      <c r="C87" s="16" t="str">
        <f>VLOOKUP(Tabla2[[#This Row],[Ámbito]],Tabla14[[Ámbito]:[Código]],2,FALSE)&amp;"-"&amp;Tabla2[[#This Row],[Numeración]]</f>
        <v>PAO-002</v>
      </c>
      <c r="D87" s="11" t="s">
        <v>421</v>
      </c>
      <c r="E87" s="14" t="s">
        <v>422</v>
      </c>
      <c r="F87" s="15" t="s">
        <v>423</v>
      </c>
      <c r="G87" s="15" t="s">
        <v>424</v>
      </c>
      <c r="H87" s="11" t="s">
        <v>72</v>
      </c>
      <c r="I87" s="11"/>
      <c r="J87" s="13"/>
    </row>
    <row r="88" ht="18" spans="1:10">
      <c r="A88" s="11" t="s">
        <v>34</v>
      </c>
      <c r="B88" s="12" t="s">
        <v>85</v>
      </c>
      <c r="C88" s="16" t="str">
        <f>VLOOKUP(Tabla2[[#This Row],[Ámbito]],Tabla14[[Ámbito]:[Código]],2,FALSE)&amp;"-"&amp;Tabla2[[#This Row],[Numeración]]</f>
        <v>PAO-003</v>
      </c>
      <c r="D88" s="11" t="s">
        <v>425</v>
      </c>
      <c r="E88" s="14" t="s">
        <v>426</v>
      </c>
      <c r="F88" s="15" t="s">
        <v>427</v>
      </c>
      <c r="G88" s="15" t="s">
        <v>428</v>
      </c>
      <c r="H88" s="11" t="s">
        <v>72</v>
      </c>
      <c r="I88" s="11"/>
      <c r="J88" s="13"/>
    </row>
    <row r="89" ht="18" spans="1:10">
      <c r="A89" s="11" t="s">
        <v>34</v>
      </c>
      <c r="B89" s="12" t="s">
        <v>90</v>
      </c>
      <c r="C89" s="16" t="str">
        <f>VLOOKUP(Tabla2[[#This Row],[Ámbito]],Tabla14[[Ámbito]:[Código]],2,FALSE)&amp;"-"&amp;Tabla2[[#This Row],[Numeración]]</f>
        <v>PAO-004</v>
      </c>
      <c r="D89" s="11" t="s">
        <v>429</v>
      </c>
      <c r="E89" s="14" t="s">
        <v>430</v>
      </c>
      <c r="F89" s="15" t="s">
        <v>431</v>
      </c>
      <c r="G89" s="15" t="s">
        <v>432</v>
      </c>
      <c r="H89" s="11" t="s">
        <v>72</v>
      </c>
      <c r="I89" s="11"/>
      <c r="J89" s="13"/>
    </row>
    <row r="90" ht="36" spans="1:10">
      <c r="A90" s="11" t="s">
        <v>34</v>
      </c>
      <c r="B90" s="12" t="s">
        <v>95</v>
      </c>
      <c r="C90" s="16" t="str">
        <f>VLOOKUP(Tabla2[[#This Row],[Ámbito]],Tabla14[[Ámbito]:[Código]],2,FALSE)&amp;"-"&amp;Tabla2[[#This Row],[Numeración]]</f>
        <v>PAO-005</v>
      </c>
      <c r="D90" s="11" t="s">
        <v>433</v>
      </c>
      <c r="E90" s="14" t="s">
        <v>434</v>
      </c>
      <c r="F90" s="15" t="s">
        <v>435</v>
      </c>
      <c r="G90" s="15" t="s">
        <v>436</v>
      </c>
      <c r="H90" s="11" t="s">
        <v>72</v>
      </c>
      <c r="I90" s="11"/>
      <c r="J90" s="13"/>
    </row>
    <row r="91" ht="27" spans="1:10">
      <c r="A91" s="11" t="s">
        <v>34</v>
      </c>
      <c r="B91" s="12" t="s">
        <v>100</v>
      </c>
      <c r="C91" s="16" t="str">
        <f>VLOOKUP(Tabla2[[#This Row],[Ámbito]],Tabla14[[Ámbito]:[Código]],2,FALSE)&amp;"-"&amp;Tabla2[[#This Row],[Numeración]]</f>
        <v>PAO-006</v>
      </c>
      <c r="D91" s="11" t="s">
        <v>437</v>
      </c>
      <c r="E91" s="14" t="s">
        <v>438</v>
      </c>
      <c r="F91" s="15" t="s">
        <v>439</v>
      </c>
      <c r="G91" s="15" t="s">
        <v>440</v>
      </c>
      <c r="H91" s="11" t="s">
        <v>72</v>
      </c>
      <c r="I91" s="11"/>
      <c r="J91" s="13"/>
    </row>
    <row r="92" ht="18" spans="1:10">
      <c r="A92" s="11" t="s">
        <v>34</v>
      </c>
      <c r="B92" s="12" t="s">
        <v>105</v>
      </c>
      <c r="C92" s="16" t="str">
        <f>VLOOKUP(Tabla2[[#This Row],[Ámbito]],Tabla14[[Ámbito]:[Código]],2,FALSE)&amp;"-"&amp;Tabla2[[#This Row],[Numeración]]</f>
        <v>PAO-007</v>
      </c>
      <c r="D92" s="11" t="s">
        <v>441</v>
      </c>
      <c r="E92" s="14" t="s">
        <v>442</v>
      </c>
      <c r="F92" s="15" t="s">
        <v>443</v>
      </c>
      <c r="G92" s="15" t="s">
        <v>444</v>
      </c>
      <c r="H92" s="11" t="s">
        <v>72</v>
      </c>
      <c r="I92" s="11"/>
      <c r="J92" s="13"/>
    </row>
    <row r="93" ht="27" spans="1:10">
      <c r="A93" s="11" t="s">
        <v>36</v>
      </c>
      <c r="B93" s="12" t="s">
        <v>75</v>
      </c>
      <c r="C93" s="16" t="str">
        <f>VLOOKUP(Tabla2[[#This Row],[Ámbito]],Tabla14[[Ámbito]:[Código]],2,FALSE)&amp;"-"&amp;Tabla2[[#This Row],[Numeración]]</f>
        <v>RMA-001</v>
      </c>
      <c r="D93" s="11" t="s">
        <v>445</v>
      </c>
      <c r="E93" s="14" t="s">
        <v>446</v>
      </c>
      <c r="F93" s="15" t="s">
        <v>447</v>
      </c>
      <c r="G93" s="15" t="s">
        <v>448</v>
      </c>
      <c r="H93" s="11" t="s">
        <v>72</v>
      </c>
      <c r="I93" s="11"/>
      <c r="J93" s="13"/>
    </row>
    <row r="94" ht="27" spans="1:10">
      <c r="A94" s="11" t="s">
        <v>36</v>
      </c>
      <c r="B94" s="12" t="s">
        <v>80</v>
      </c>
      <c r="C94" s="16" t="str">
        <f>VLOOKUP(Tabla2[[#This Row],[Ámbito]],Tabla14[[Ámbito]:[Código]],2,FALSE)&amp;"-"&amp;Tabla2[[#This Row],[Numeración]]</f>
        <v>RMA-002</v>
      </c>
      <c r="D94" s="11" t="s">
        <v>449</v>
      </c>
      <c r="E94" s="14" t="s">
        <v>450</v>
      </c>
      <c r="F94" s="15" t="s">
        <v>451</v>
      </c>
      <c r="G94" s="15" t="s">
        <v>452</v>
      </c>
      <c r="H94" s="11" t="s">
        <v>72</v>
      </c>
      <c r="I94" s="11"/>
      <c r="J94" s="13"/>
    </row>
    <row r="95" ht="27" spans="1:10">
      <c r="A95" s="11" t="s">
        <v>36</v>
      </c>
      <c r="B95" s="12" t="s">
        <v>85</v>
      </c>
      <c r="C95" s="16" t="str">
        <f>VLOOKUP(Tabla2[[#This Row],[Ámbito]],Tabla14[[Ámbito]:[Código]],2,FALSE)&amp;"-"&amp;Tabla2[[#This Row],[Numeración]]</f>
        <v>RMA-003</v>
      </c>
      <c r="D95" s="11" t="s">
        <v>453</v>
      </c>
      <c r="E95" s="14" t="s">
        <v>454</v>
      </c>
      <c r="F95" s="15" t="s">
        <v>455</v>
      </c>
      <c r="G95" s="15" t="s">
        <v>456</v>
      </c>
      <c r="H95" s="11" t="s">
        <v>72</v>
      </c>
      <c r="I95" s="11"/>
      <c r="J95" s="13"/>
    </row>
    <row r="96" ht="36" spans="1:10">
      <c r="A96" s="11" t="s">
        <v>36</v>
      </c>
      <c r="B96" s="12" t="s">
        <v>90</v>
      </c>
      <c r="C96" s="16" t="str">
        <f>VLOOKUP(Tabla2[[#This Row],[Ámbito]],Tabla14[[Ámbito]:[Código]],2,FALSE)&amp;"-"&amp;Tabla2[[#This Row],[Numeración]]</f>
        <v>RMA-004</v>
      </c>
      <c r="D96" s="11" t="s">
        <v>457</v>
      </c>
      <c r="E96" s="14" t="s">
        <v>458</v>
      </c>
      <c r="F96" s="15" t="s">
        <v>459</v>
      </c>
      <c r="G96" s="15" t="s">
        <v>460</v>
      </c>
      <c r="H96" s="11" t="s">
        <v>72</v>
      </c>
      <c r="I96" s="11"/>
      <c r="J96" s="13"/>
    </row>
    <row r="97" ht="27" spans="1:10">
      <c r="A97" s="11" t="s">
        <v>36</v>
      </c>
      <c r="B97" s="12" t="s">
        <v>95</v>
      </c>
      <c r="C97" s="16" t="str">
        <f>VLOOKUP(Tabla2[[#This Row],[Ámbito]],Tabla14[[Ámbito]:[Código]],2,FALSE)&amp;"-"&amp;Tabla2[[#This Row],[Numeración]]</f>
        <v>RMA-005</v>
      </c>
      <c r="D97" s="11" t="s">
        <v>461</v>
      </c>
      <c r="E97" s="14" t="s">
        <v>462</v>
      </c>
      <c r="F97" s="15" t="s">
        <v>463</v>
      </c>
      <c r="G97" s="15" t="s">
        <v>464</v>
      </c>
      <c r="H97" s="11" t="s">
        <v>72</v>
      </c>
      <c r="I97" s="11"/>
      <c r="J97" s="13"/>
    </row>
    <row r="98" ht="18" spans="1:10">
      <c r="A98" s="11" t="s">
        <v>36</v>
      </c>
      <c r="B98" s="12" t="s">
        <v>100</v>
      </c>
      <c r="C98" s="16" t="str">
        <f>VLOOKUP(Tabla2[[#This Row],[Ámbito]],Tabla14[[Ámbito]:[Código]],2,FALSE)&amp;"-"&amp;Tabla2[[#This Row],[Numeración]]</f>
        <v>RMA-006</v>
      </c>
      <c r="D98" s="11" t="s">
        <v>465</v>
      </c>
      <c r="E98" s="14" t="s">
        <v>466</v>
      </c>
      <c r="F98" s="15" t="s">
        <v>467</v>
      </c>
      <c r="G98" s="15" t="s">
        <v>468</v>
      </c>
      <c r="H98" s="11" t="s">
        <v>72</v>
      </c>
      <c r="I98" s="11"/>
      <c r="J98" s="13"/>
    </row>
    <row r="99" ht="36" spans="1:10">
      <c r="A99" s="11" t="s">
        <v>36</v>
      </c>
      <c r="B99" s="12" t="s">
        <v>105</v>
      </c>
      <c r="C99" s="16" t="str">
        <f>VLOOKUP(Tabla2[[#This Row],[Ámbito]],Tabla14[[Ámbito]:[Código]],2,FALSE)&amp;"-"&amp;Tabla2[[#This Row],[Numeración]]</f>
        <v>RMA-007</v>
      </c>
      <c r="D99" s="11" t="s">
        <v>469</v>
      </c>
      <c r="E99" s="14" t="s">
        <v>470</v>
      </c>
      <c r="F99" s="15" t="s">
        <v>471</v>
      </c>
      <c r="G99" s="15" t="s">
        <v>472</v>
      </c>
      <c r="H99" s="11" t="s">
        <v>72</v>
      </c>
      <c r="I99" s="11"/>
      <c r="J99" s="13"/>
    </row>
    <row r="100" ht="18" spans="1:10">
      <c r="A100" s="11" t="s">
        <v>36</v>
      </c>
      <c r="B100" s="12" t="s">
        <v>110</v>
      </c>
      <c r="C100" s="16" t="str">
        <f>VLOOKUP(Tabla2[[#This Row],[Ámbito]],Tabla14[[Ámbito]:[Código]],2,FALSE)&amp;"-"&amp;Tabla2[[#This Row],[Numeración]]</f>
        <v>RMA-008</v>
      </c>
      <c r="D100" s="11" t="s">
        <v>473</v>
      </c>
      <c r="E100" s="14" t="s">
        <v>474</v>
      </c>
      <c r="F100" s="15" t="s">
        <v>475</v>
      </c>
      <c r="G100" s="15" t="s">
        <v>476</v>
      </c>
      <c r="H100" s="11" t="s">
        <v>72</v>
      </c>
      <c r="I100" s="11"/>
      <c r="J100" s="13"/>
    </row>
    <row r="101" ht="36" spans="1:10">
      <c r="A101" s="11" t="s">
        <v>36</v>
      </c>
      <c r="B101" s="12" t="s">
        <v>115</v>
      </c>
      <c r="C101" s="16" t="str">
        <f>VLOOKUP(Tabla2[[#This Row],[Ámbito]],Tabla14[[Ámbito]:[Código]],2,FALSE)&amp;"-"&amp;Tabla2[[#This Row],[Numeración]]</f>
        <v>RMA-009</v>
      </c>
      <c r="D101" s="11" t="s">
        <v>477</v>
      </c>
      <c r="E101" s="14" t="s">
        <v>478</v>
      </c>
      <c r="F101" s="15" t="s">
        <v>479</v>
      </c>
      <c r="G101" s="15" t="s">
        <v>480</v>
      </c>
      <c r="H101" s="11" t="s">
        <v>72</v>
      </c>
      <c r="I101" s="11"/>
      <c r="J101" s="13"/>
    </row>
    <row r="102" ht="27" spans="1:10">
      <c r="A102" s="11" t="s">
        <v>50</v>
      </c>
      <c r="B102" s="12" t="s">
        <v>75</v>
      </c>
      <c r="C102" s="16" t="s">
        <v>481</v>
      </c>
      <c r="D102" s="11" t="s">
        <v>183</v>
      </c>
      <c r="E102" s="14" t="s">
        <v>184</v>
      </c>
      <c r="F102" s="15" t="s">
        <v>482</v>
      </c>
      <c r="G102" s="15" t="s">
        <v>483</v>
      </c>
      <c r="H102" s="11" t="s">
        <v>72</v>
      </c>
      <c r="I102" s="11"/>
      <c r="J102" s="13"/>
    </row>
    <row r="103" ht="27" spans="1:10">
      <c r="A103" s="11" t="s">
        <v>50</v>
      </c>
      <c r="B103" s="12" t="s">
        <v>80</v>
      </c>
      <c r="C103" s="16" t="str">
        <f>VLOOKUP(Tabla2[[#This Row],[Ámbito]],Tabla14[[Ámbito]:[Código]],2,FALSE)&amp;"-"&amp;Tabla2[[#This Row],[Numeración]]</f>
        <v>REC-002</v>
      </c>
      <c r="D103" s="11" t="s">
        <v>484</v>
      </c>
      <c r="E103" s="14" t="s">
        <v>485</v>
      </c>
      <c r="F103" s="15" t="s">
        <v>486</v>
      </c>
      <c r="G103" s="15" t="s">
        <v>487</v>
      </c>
      <c r="H103" s="11" t="s">
        <v>72</v>
      </c>
      <c r="I103" s="11"/>
      <c r="J103" s="13"/>
    </row>
    <row r="104" ht="18" spans="1:10">
      <c r="A104" s="11" t="s">
        <v>50</v>
      </c>
      <c r="B104" s="12" t="s">
        <v>85</v>
      </c>
      <c r="C104" s="16" t="str">
        <f>VLOOKUP(Tabla2[[#This Row],[Ámbito]],Tabla14[[Ámbito]:[Código]],2,FALSE)&amp;"-"&amp;Tabla2[[#This Row],[Numeración]]</f>
        <v>REC-003</v>
      </c>
      <c r="D104" s="11" t="s">
        <v>488</v>
      </c>
      <c r="E104" s="14" t="s">
        <v>489</v>
      </c>
      <c r="F104" s="15" t="s">
        <v>490</v>
      </c>
      <c r="G104" s="15" t="s">
        <v>491</v>
      </c>
      <c r="H104" s="11" t="s">
        <v>72</v>
      </c>
      <c r="I104" s="11"/>
      <c r="J104" s="13"/>
    </row>
    <row r="105" ht="18" spans="1:10">
      <c r="A105" s="11" t="s">
        <v>50</v>
      </c>
      <c r="B105" s="12" t="s">
        <v>90</v>
      </c>
      <c r="C105" s="16" t="str">
        <f>VLOOKUP(Tabla2[[#This Row],[Ámbito]],Tabla14[[Ámbito]:[Código]],2,FALSE)&amp;"-"&amp;Tabla2[[#This Row],[Numeración]]</f>
        <v>REC-004</v>
      </c>
      <c r="D105" s="11" t="s">
        <v>492</v>
      </c>
      <c r="E105" s="14" t="s">
        <v>493</v>
      </c>
      <c r="F105" s="15" t="s">
        <v>494</v>
      </c>
      <c r="G105" s="15" t="s">
        <v>495</v>
      </c>
      <c r="H105" s="11" t="s">
        <v>72</v>
      </c>
      <c r="I105" s="11"/>
      <c r="J105" s="13"/>
    </row>
    <row r="106" ht="27" spans="1:10">
      <c r="A106" s="11" t="s">
        <v>50</v>
      </c>
      <c r="B106" s="12" t="s">
        <v>95</v>
      </c>
      <c r="C106" s="16" t="str">
        <f>VLOOKUP(Tabla2[[#This Row],[Ámbito]],Tabla14[[Ámbito]:[Código]],2,FALSE)&amp;"-"&amp;Tabla2[[#This Row],[Numeración]]</f>
        <v>REC-005</v>
      </c>
      <c r="D106" s="11" t="s">
        <v>496</v>
      </c>
      <c r="E106" s="14" t="s">
        <v>497</v>
      </c>
      <c r="F106" s="15" t="s">
        <v>498</v>
      </c>
      <c r="G106" s="15" t="s">
        <v>499</v>
      </c>
      <c r="H106" s="11" t="s">
        <v>72</v>
      </c>
      <c r="I106" s="11"/>
      <c r="J106" s="13"/>
    </row>
    <row r="107" ht="18" spans="1:10">
      <c r="A107" s="11" t="s">
        <v>50</v>
      </c>
      <c r="B107" s="12" t="s">
        <v>100</v>
      </c>
      <c r="C107" s="16" t="str">
        <f>VLOOKUP(Tabla2[[#This Row],[Ámbito]],Tabla14[[Ámbito]:[Código]],2,FALSE)&amp;"-"&amp;Tabla2[[#This Row],[Numeración]]</f>
        <v>REC-006</v>
      </c>
      <c r="D107" s="11" t="s">
        <v>500</v>
      </c>
      <c r="E107" s="14" t="s">
        <v>501</v>
      </c>
      <c r="F107" s="15" t="s">
        <v>502</v>
      </c>
      <c r="G107" s="15" t="s">
        <v>503</v>
      </c>
      <c r="H107" s="11" t="s">
        <v>72</v>
      </c>
      <c r="I107" s="11"/>
      <c r="J107" s="13"/>
    </row>
    <row r="108" ht="18" spans="1:10">
      <c r="A108" s="11" t="s">
        <v>50</v>
      </c>
      <c r="B108" s="12" t="s">
        <v>105</v>
      </c>
      <c r="C108" s="16" t="str">
        <f>VLOOKUP(Tabla2[[#This Row],[Ámbito]],Tabla14[[Ámbito]:[Código]],2,FALSE)&amp;"-"&amp;Tabla2[[#This Row],[Numeración]]</f>
        <v>REC-007</v>
      </c>
      <c r="D108" s="11" t="s">
        <v>504</v>
      </c>
      <c r="E108" s="14" t="s">
        <v>505</v>
      </c>
      <c r="F108" s="15" t="s">
        <v>506</v>
      </c>
      <c r="G108" s="15" t="s">
        <v>507</v>
      </c>
      <c r="H108" s="11" t="s">
        <v>72</v>
      </c>
      <c r="I108" s="11"/>
      <c r="J108" s="13"/>
    </row>
    <row r="109" ht="18" spans="1:10">
      <c r="A109" s="11" t="s">
        <v>50</v>
      </c>
      <c r="B109" s="12" t="s">
        <v>110</v>
      </c>
      <c r="C109" s="16" t="str">
        <f>VLOOKUP(Tabla2[[#This Row],[Ámbito]],Tabla14[[Ámbito]:[Código]],2,FALSE)&amp;"-"&amp;Tabla2[[#This Row],[Numeración]]</f>
        <v>REC-008</v>
      </c>
      <c r="D109" s="11" t="s">
        <v>508</v>
      </c>
      <c r="E109" s="14" t="s">
        <v>509</v>
      </c>
      <c r="F109" s="15" t="s">
        <v>510</v>
      </c>
      <c r="G109" s="15" t="s">
        <v>511</v>
      </c>
      <c r="H109" s="11" t="s">
        <v>72</v>
      </c>
      <c r="I109" s="11"/>
      <c r="J109" s="13"/>
    </row>
    <row r="110" ht="18" spans="1:10">
      <c r="A110" s="11" t="s">
        <v>50</v>
      </c>
      <c r="B110" s="12" t="s">
        <v>115</v>
      </c>
      <c r="C110" s="16" t="str">
        <f>VLOOKUP(Tabla2[[#This Row],[Ámbito]],Tabla14[[Ámbito]:[Código]],2,FALSE)&amp;"-"&amp;Tabla2[[#This Row],[Numeración]]</f>
        <v>REC-009</v>
      </c>
      <c r="D110" s="11" t="s">
        <v>512</v>
      </c>
      <c r="E110" s="14" t="s">
        <v>513</v>
      </c>
      <c r="F110" s="15" t="s">
        <v>514</v>
      </c>
      <c r="G110" s="15" t="s">
        <v>515</v>
      </c>
      <c r="H110" s="11" t="s">
        <v>72</v>
      </c>
      <c r="I110" s="11"/>
      <c r="J110" s="13"/>
    </row>
    <row r="111" spans="1:10">
      <c r="A111" s="11" t="s">
        <v>50</v>
      </c>
      <c r="B111" s="12" t="s">
        <v>120</v>
      </c>
      <c r="C111" s="16" t="str">
        <f>VLOOKUP(Tabla2[[#This Row],[Ámbito]],Tabla14[[Ámbito]:[Código]],2,FALSE)&amp;"-"&amp;Tabla2[[#This Row],[Numeración]]</f>
        <v>REC-010</v>
      </c>
      <c r="D111" s="11" t="s">
        <v>516</v>
      </c>
      <c r="E111" s="14" t="s">
        <v>517</v>
      </c>
      <c r="F111" s="15" t="s">
        <v>518</v>
      </c>
      <c r="G111" s="15" t="s">
        <v>519</v>
      </c>
      <c r="H111" s="11" t="s">
        <v>72</v>
      </c>
      <c r="I111" s="11"/>
      <c r="J111" s="13"/>
    </row>
    <row r="112" ht="18" spans="1:10">
      <c r="A112" s="11" t="s">
        <v>50</v>
      </c>
      <c r="B112" s="12" t="s">
        <v>125</v>
      </c>
      <c r="C112" s="16" t="str">
        <f>VLOOKUP(Tabla2[[#This Row],[Ámbito]],Tabla14[[Ámbito]:[Código]],2,FALSE)&amp;"-"&amp;Tabla2[[#This Row],[Numeración]]</f>
        <v>REC-011</v>
      </c>
      <c r="D112" s="11" t="s">
        <v>520</v>
      </c>
      <c r="E112" s="14" t="s">
        <v>521</v>
      </c>
      <c r="F112" s="15" t="s">
        <v>522</v>
      </c>
      <c r="G112" s="15" t="s">
        <v>523</v>
      </c>
      <c r="H112" s="11" t="s">
        <v>72</v>
      </c>
      <c r="I112" s="11"/>
      <c r="J112" s="13"/>
    </row>
    <row r="113" ht="18" spans="1:10">
      <c r="A113" s="11" t="s">
        <v>50</v>
      </c>
      <c r="B113" s="12" t="s">
        <v>202</v>
      </c>
      <c r="C113" s="16" t="str">
        <f>VLOOKUP(Tabla2[[#This Row],[Ámbito]],Tabla14[[Ámbito]:[Código]],2,FALSE)&amp;"-"&amp;Tabla2[[#This Row],[Numeración]]</f>
        <v>REC-012</v>
      </c>
      <c r="D113" s="11" t="s">
        <v>524</v>
      </c>
      <c r="E113" s="14" t="s">
        <v>525</v>
      </c>
      <c r="F113" s="15" t="s">
        <v>526</v>
      </c>
      <c r="G113" s="15" t="s">
        <v>527</v>
      </c>
      <c r="H113" s="11" t="s">
        <v>72</v>
      </c>
      <c r="I113" s="11"/>
      <c r="J113" s="13"/>
    </row>
    <row r="114" ht="27" spans="1:10">
      <c r="A114" s="11" t="s">
        <v>50</v>
      </c>
      <c r="B114" s="12" t="s">
        <v>207</v>
      </c>
      <c r="C114" s="16" t="str">
        <f>VLOOKUP(Tabla2[[#This Row],[Ámbito]],Tabla14[[Ámbito]:[Código]],2,FALSE)&amp;"-"&amp;Tabla2[[#This Row],[Numeración]]</f>
        <v>REC-013</v>
      </c>
      <c r="D114" s="11" t="s">
        <v>528</v>
      </c>
      <c r="E114" s="14" t="s">
        <v>529</v>
      </c>
      <c r="F114" s="15" t="s">
        <v>530</v>
      </c>
      <c r="G114" s="15" t="s">
        <v>531</v>
      </c>
      <c r="H114" s="11" t="s">
        <v>72</v>
      </c>
      <c r="I114" s="11"/>
      <c r="J114" s="13"/>
    </row>
    <row r="115" ht="36" spans="1:10">
      <c r="A115" s="11" t="s">
        <v>50</v>
      </c>
      <c r="B115" s="12" t="s">
        <v>212</v>
      </c>
      <c r="C115" s="16" t="str">
        <f>VLOOKUP(Tabla2[[#This Row],[Ámbito]],Tabla14[[Ámbito]:[Código]],2,FALSE)&amp;"-"&amp;Tabla2[[#This Row],[Numeración]]</f>
        <v>REC-014</v>
      </c>
      <c r="D115" s="11" t="s">
        <v>532</v>
      </c>
      <c r="E115" s="14" t="s">
        <v>533</v>
      </c>
      <c r="F115" s="15" t="s">
        <v>534</v>
      </c>
      <c r="G115" s="15" t="s">
        <v>535</v>
      </c>
      <c r="H115" s="11" t="s">
        <v>72</v>
      </c>
      <c r="I115" s="11"/>
      <c r="J115" s="13"/>
    </row>
    <row r="116" ht="18" spans="1:10">
      <c r="A116" s="11" t="s">
        <v>50</v>
      </c>
      <c r="B116" s="12" t="s">
        <v>217</v>
      </c>
      <c r="C116" s="16" t="str">
        <f>VLOOKUP(Tabla2[[#This Row],[Ámbito]],Tabla14[[Ámbito]:[Código]],2,FALSE)&amp;"-"&amp;Tabla2[[#This Row],[Numeración]]</f>
        <v>REC-015</v>
      </c>
      <c r="D116" s="11" t="s">
        <v>536</v>
      </c>
      <c r="E116" s="14" t="s">
        <v>537</v>
      </c>
      <c r="F116" s="15" t="s">
        <v>538</v>
      </c>
      <c r="G116" s="15" t="s">
        <v>539</v>
      </c>
      <c r="H116" s="11" t="s">
        <v>72</v>
      </c>
      <c r="I116" s="11"/>
      <c r="J116" s="13"/>
    </row>
    <row r="117" ht="18" spans="1:10">
      <c r="A117" s="11" t="s">
        <v>50</v>
      </c>
      <c r="B117" s="12" t="s">
        <v>540</v>
      </c>
      <c r="C117" s="16" t="str">
        <f>VLOOKUP(Tabla2[[#This Row],[Ámbito]],Tabla14[[Ámbito]:[Código]],2,FALSE)&amp;"-"&amp;Tabla2[[#This Row],[Numeración]]</f>
        <v>REC-016</v>
      </c>
      <c r="D117" s="11" t="s">
        <v>541</v>
      </c>
      <c r="E117" s="14" t="s">
        <v>542</v>
      </c>
      <c r="F117" s="15" t="s">
        <v>543</v>
      </c>
      <c r="G117" s="15" t="s">
        <v>544</v>
      </c>
      <c r="H117" s="11" t="s">
        <v>72</v>
      </c>
      <c r="I117" s="11"/>
      <c r="J117" s="13"/>
    </row>
    <row r="118" ht="27" spans="1:10">
      <c r="A118" s="11" t="s">
        <v>50</v>
      </c>
      <c r="B118" s="12" t="s">
        <v>545</v>
      </c>
      <c r="C118" s="16" t="str">
        <f>VLOOKUP(Tabla2[[#This Row],[Ámbito]],Tabla14[[Ámbito]:[Código]],2,FALSE)&amp;"-"&amp;Tabla2[[#This Row],[Numeración]]</f>
        <v>REC-017</v>
      </c>
      <c r="D118" s="11" t="s">
        <v>417</v>
      </c>
      <c r="E118" s="14" t="s">
        <v>418</v>
      </c>
      <c r="F118" s="15" t="s">
        <v>546</v>
      </c>
      <c r="G118" s="15" t="s">
        <v>547</v>
      </c>
      <c r="H118" s="11" t="s">
        <v>72</v>
      </c>
      <c r="I118" s="11"/>
      <c r="J118" s="13"/>
    </row>
    <row r="119" ht="18" spans="1:10">
      <c r="A119" s="11" t="s">
        <v>50</v>
      </c>
      <c r="B119" s="12" t="s">
        <v>548</v>
      </c>
      <c r="C119" s="16" t="str">
        <f>VLOOKUP(Tabla2[[#This Row],[Ámbito]],Tabla14[[Ámbito]:[Código]],2,FALSE)&amp;"-"&amp;Tabla2[[#This Row],[Numeración]]</f>
        <v>REC-018</v>
      </c>
      <c r="D119" s="11" t="s">
        <v>549</v>
      </c>
      <c r="E119" s="14" t="s">
        <v>550</v>
      </c>
      <c r="F119" s="15" t="s">
        <v>551</v>
      </c>
      <c r="G119" s="15" t="s">
        <v>552</v>
      </c>
      <c r="H119" s="11" t="s">
        <v>72</v>
      </c>
      <c r="I119" s="11"/>
      <c r="J119" s="13"/>
    </row>
    <row r="120" ht="18" spans="1:10">
      <c r="A120" s="11" t="s">
        <v>50</v>
      </c>
      <c r="B120" s="12" t="s">
        <v>553</v>
      </c>
      <c r="C120" s="16" t="str">
        <f>VLOOKUP(Tabla2[[#This Row],[Ámbito]],Tabla14[[Ámbito]:[Código]],2,FALSE)&amp;"-"&amp;Tabla2[[#This Row],[Numeración]]</f>
        <v>REC-019</v>
      </c>
      <c r="D120" s="11" t="s">
        <v>554</v>
      </c>
      <c r="E120" s="14" t="s">
        <v>555</v>
      </c>
      <c r="F120" s="15" t="s">
        <v>556</v>
      </c>
      <c r="G120" s="15" t="s">
        <v>557</v>
      </c>
      <c r="H120" s="11" t="s">
        <v>72</v>
      </c>
      <c r="I120" s="11"/>
      <c r="J120" s="13"/>
    </row>
    <row r="121" ht="18" spans="1:10">
      <c r="A121" s="11" t="s">
        <v>50</v>
      </c>
      <c r="B121" s="12" t="s">
        <v>558</v>
      </c>
      <c r="C121" s="16" t="str">
        <f>VLOOKUP(Tabla2[[#This Row],[Ámbito]],Tabla14[[Ámbito]:[Código]],2,FALSE)&amp;"-"&amp;Tabla2[[#This Row],[Numeración]]</f>
        <v>REC-020</v>
      </c>
      <c r="D121" s="11" t="s">
        <v>559</v>
      </c>
      <c r="E121" s="14" t="s">
        <v>560</v>
      </c>
      <c r="F121" s="15" t="s">
        <v>561</v>
      </c>
      <c r="G121" s="15" t="s">
        <v>562</v>
      </c>
      <c r="H121" s="11" t="s">
        <v>72</v>
      </c>
      <c r="I121" s="11"/>
      <c r="J121" s="13"/>
    </row>
    <row r="122" ht="18" spans="1:10">
      <c r="A122" s="11" t="s">
        <v>50</v>
      </c>
      <c r="B122" s="12" t="s">
        <v>563</v>
      </c>
      <c r="C122" s="16" t="str">
        <f>VLOOKUP(Tabla2[[#This Row],[Ámbito]],Tabla14[[Ámbito]:[Código]],2,FALSE)&amp;"-"&amp;Tabla2[[#This Row],[Numeración]]</f>
        <v>REC-021</v>
      </c>
      <c r="D122" s="11" t="s">
        <v>564</v>
      </c>
      <c r="E122" s="14" t="s">
        <v>565</v>
      </c>
      <c r="F122" s="15" t="s">
        <v>566</v>
      </c>
      <c r="G122" s="15" t="s">
        <v>567</v>
      </c>
      <c r="H122" s="11" t="s">
        <v>72</v>
      </c>
      <c r="I122" s="11"/>
      <c r="J122" s="13"/>
    </row>
    <row r="123" ht="27" spans="1:10">
      <c r="A123" s="11" t="s">
        <v>50</v>
      </c>
      <c r="B123" s="12" t="s">
        <v>568</v>
      </c>
      <c r="C123" s="16" t="str">
        <f>VLOOKUP(Tabla2[[#This Row],[Ámbito]],Tabla14[[Ámbito]:[Código]],2,FALSE)&amp;"-"&amp;Tabla2[[#This Row],[Numeración]]</f>
        <v>REC-022</v>
      </c>
      <c r="D123" s="11" t="s">
        <v>569</v>
      </c>
      <c r="E123" s="14" t="s">
        <v>570</v>
      </c>
      <c r="F123" s="15" t="s">
        <v>571</v>
      </c>
      <c r="G123" s="15" t="s">
        <v>572</v>
      </c>
      <c r="H123" s="11" t="s">
        <v>72</v>
      </c>
      <c r="I123" s="11"/>
      <c r="J123" s="13"/>
    </row>
    <row r="124" ht="36" spans="1:10">
      <c r="A124" s="11" t="s">
        <v>50</v>
      </c>
      <c r="B124" s="12" t="s">
        <v>573</v>
      </c>
      <c r="C124" s="16" t="str">
        <f>VLOOKUP(Tabla2[[#This Row],[Ámbito]],Tabla14[[Ámbito]:[Código]],2,FALSE)&amp;"-"&amp;Tabla2[[#This Row],[Numeración]]</f>
        <v>REC-023</v>
      </c>
      <c r="D124" s="11" t="s">
        <v>574</v>
      </c>
      <c r="E124" s="14" t="s">
        <v>575</v>
      </c>
      <c r="F124" s="15" t="s">
        <v>576</v>
      </c>
      <c r="G124" s="15" t="s">
        <v>577</v>
      </c>
      <c r="H124" s="11" t="s">
        <v>72</v>
      </c>
      <c r="I124" s="11"/>
      <c r="J124" s="13"/>
    </row>
    <row r="125" ht="18" spans="1:10">
      <c r="A125" s="11" t="s">
        <v>50</v>
      </c>
      <c r="B125" s="12" t="s">
        <v>578</v>
      </c>
      <c r="C125" s="16" t="str">
        <f>VLOOKUP(Tabla2[[#This Row],[Ámbito]],Tabla14[[Ámbito]:[Código]],2,FALSE)&amp;"-"&amp;Tabla2[[#This Row],[Numeración]]</f>
        <v>REC-024</v>
      </c>
      <c r="D125" s="11" t="s">
        <v>579</v>
      </c>
      <c r="E125" s="14" t="s">
        <v>580</v>
      </c>
      <c r="F125" s="15" t="s">
        <v>581</v>
      </c>
      <c r="G125" s="15" t="s">
        <v>582</v>
      </c>
      <c r="H125" s="11" t="s">
        <v>72</v>
      </c>
      <c r="I125" s="11"/>
      <c r="J125" s="13"/>
    </row>
    <row r="126" ht="27" spans="1:10">
      <c r="A126" s="11" t="s">
        <v>50</v>
      </c>
      <c r="B126" s="12" t="s">
        <v>583</v>
      </c>
      <c r="C126" s="16" t="str">
        <f>VLOOKUP(Tabla2[[#This Row],[Ámbito]],Tabla14[[Ámbito]:[Código]],2,FALSE)&amp;"-"&amp;Tabla2[[#This Row],[Numeración]]</f>
        <v>REC-025</v>
      </c>
      <c r="D126" s="11" t="s">
        <v>584</v>
      </c>
      <c r="E126" s="14" t="s">
        <v>585</v>
      </c>
      <c r="F126" s="15" t="s">
        <v>586</v>
      </c>
      <c r="G126" s="15" t="s">
        <v>587</v>
      </c>
      <c r="H126" s="11" t="s">
        <v>72</v>
      </c>
      <c r="I126" s="11"/>
      <c r="J126" s="13"/>
    </row>
    <row r="127" ht="18" spans="1:10">
      <c r="A127" s="11" t="s">
        <v>50</v>
      </c>
      <c r="B127" s="12" t="s">
        <v>588</v>
      </c>
      <c r="C127" s="16" t="str">
        <f>VLOOKUP(Tabla2[[#This Row],[Ámbito]],Tabla14[[Ámbito]:[Código]],2,FALSE)&amp;"-"&amp;Tabla2[[#This Row],[Numeración]]</f>
        <v>REC-026</v>
      </c>
      <c r="D127" s="11" t="s">
        <v>589</v>
      </c>
      <c r="E127" s="14" t="s">
        <v>590</v>
      </c>
      <c r="F127" s="15" t="s">
        <v>591</v>
      </c>
      <c r="G127" s="15" t="s">
        <v>592</v>
      </c>
      <c r="H127" s="11" t="s">
        <v>72</v>
      </c>
      <c r="I127" s="11"/>
      <c r="J127" s="13"/>
    </row>
    <row r="128" ht="18" spans="1:10">
      <c r="A128" s="11" t="s">
        <v>50</v>
      </c>
      <c r="B128" s="12" t="s">
        <v>593</v>
      </c>
      <c r="C128" s="16" t="str">
        <f>VLOOKUP(Tabla2[[#This Row],[Ámbito]],Tabla14[[Ámbito]:[Código]],2,FALSE)&amp;"-"&amp;Tabla2[[#This Row],[Numeración]]</f>
        <v>REC-027</v>
      </c>
      <c r="D128" s="11" t="s">
        <v>594</v>
      </c>
      <c r="E128" s="14" t="s">
        <v>590</v>
      </c>
      <c r="F128" s="15" t="s">
        <v>591</v>
      </c>
      <c r="G128" s="15" t="s">
        <v>592</v>
      </c>
      <c r="H128" s="11" t="s">
        <v>72</v>
      </c>
      <c r="I128" s="11"/>
      <c r="J128" s="13"/>
    </row>
    <row r="129" ht="36" spans="1:10">
      <c r="A129" s="11" t="s">
        <v>52</v>
      </c>
      <c r="B129" s="12" t="s">
        <v>75</v>
      </c>
      <c r="C129" s="16" t="str">
        <f>VLOOKUP(Tabla2[[#This Row],[Ámbito]],Tabla14[[Ámbito]:[Código]],2,FALSE)&amp;"-"&amp;Tabla2[[#This Row],[Numeración]]</f>
        <v>REDE-001</v>
      </c>
      <c r="D129" s="11" t="s">
        <v>595</v>
      </c>
      <c r="E129" s="14" t="s">
        <v>596</v>
      </c>
      <c r="F129" s="15" t="s">
        <v>597</v>
      </c>
      <c r="G129" s="15" t="s">
        <v>598</v>
      </c>
      <c r="H129" s="11" t="s">
        <v>72</v>
      </c>
      <c r="I129" s="11"/>
      <c r="J129" s="13"/>
    </row>
    <row r="130" ht="18" spans="1:10">
      <c r="A130" s="11" t="s">
        <v>52</v>
      </c>
      <c r="B130" s="12" t="s">
        <v>80</v>
      </c>
      <c r="C130" s="16" t="str">
        <f>VLOOKUP(Tabla2[[#This Row],[Ámbito]],Tabla14[[Ámbito]:[Código]],2,FALSE)&amp;"-"&amp;Tabla2[[#This Row],[Numeración]]</f>
        <v>REDE-002</v>
      </c>
      <c r="D130" s="11" t="s">
        <v>599</v>
      </c>
      <c r="E130" s="14" t="s">
        <v>600</v>
      </c>
      <c r="F130" s="15" t="s">
        <v>601</v>
      </c>
      <c r="G130" s="15" t="s">
        <v>602</v>
      </c>
      <c r="H130" s="11" t="s">
        <v>72</v>
      </c>
      <c r="I130" s="11"/>
      <c r="J130" s="13"/>
    </row>
    <row r="131" ht="18" spans="1:10">
      <c r="A131" s="11" t="s">
        <v>52</v>
      </c>
      <c r="B131" s="12" t="s">
        <v>85</v>
      </c>
      <c r="C131" s="16" t="str">
        <f>VLOOKUP(Tabla2[[#This Row],[Ámbito]],Tabla14[[Ámbito]:[Código]],2,FALSE)&amp;"-"&amp;Tabla2[[#This Row],[Numeración]]</f>
        <v>REDE-003</v>
      </c>
      <c r="D131" s="11" t="s">
        <v>603</v>
      </c>
      <c r="E131" s="14" t="s">
        <v>604</v>
      </c>
      <c r="F131" s="15" t="s">
        <v>605</v>
      </c>
      <c r="G131" s="15" t="s">
        <v>606</v>
      </c>
      <c r="H131" s="11" t="s">
        <v>72</v>
      </c>
      <c r="I131" s="11"/>
      <c r="J131" s="13"/>
    </row>
    <row r="132" ht="18" spans="1:10">
      <c r="A132" s="11" t="s">
        <v>52</v>
      </c>
      <c r="B132" s="12" t="s">
        <v>90</v>
      </c>
      <c r="C132" s="16" t="str">
        <f>VLOOKUP(Tabla2[[#This Row],[Ámbito]],Tabla14[[Ámbito]:[Código]],2,FALSE)&amp;"-"&amp;Tabla2[[#This Row],[Numeración]]</f>
        <v>REDE-004</v>
      </c>
      <c r="D132" s="11" t="s">
        <v>524</v>
      </c>
      <c r="E132" s="14" t="s">
        <v>525</v>
      </c>
      <c r="F132" s="15" t="s">
        <v>526</v>
      </c>
      <c r="G132" s="15" t="s">
        <v>527</v>
      </c>
      <c r="H132" s="11" t="s">
        <v>72</v>
      </c>
      <c r="I132" s="11"/>
      <c r="J132" s="13"/>
    </row>
    <row r="133" ht="27" spans="1:10">
      <c r="A133" s="11" t="s">
        <v>52</v>
      </c>
      <c r="B133" s="12" t="s">
        <v>95</v>
      </c>
      <c r="C133" s="16" t="str">
        <f>VLOOKUP(Tabla2[[#This Row],[Ámbito]],Tabla14[[Ámbito]:[Código]],2,FALSE)&amp;"-"&amp;Tabla2[[#This Row],[Numeración]]</f>
        <v>REDE-005</v>
      </c>
      <c r="D133" s="11" t="s">
        <v>417</v>
      </c>
      <c r="E133" s="14" t="s">
        <v>418</v>
      </c>
      <c r="F133" s="15" t="s">
        <v>546</v>
      </c>
      <c r="G133" s="15" t="s">
        <v>547</v>
      </c>
      <c r="H133" s="11" t="s">
        <v>72</v>
      </c>
      <c r="I133" s="11"/>
      <c r="J133" s="13"/>
    </row>
    <row r="134" ht="27" spans="1:10">
      <c r="A134" s="11" t="s">
        <v>52</v>
      </c>
      <c r="B134" s="12" t="s">
        <v>100</v>
      </c>
      <c r="C134" s="16" t="str">
        <f>VLOOKUP(Tabla2[[#This Row],[Ámbito]],Tabla14[[Ámbito]:[Código]],2,FALSE)&amp;"-"&amp;Tabla2[[#This Row],[Numeración]]</f>
        <v>REDE-006</v>
      </c>
      <c r="D134" s="11" t="s">
        <v>607</v>
      </c>
      <c r="E134" s="14" t="s">
        <v>608</v>
      </c>
      <c r="F134" s="15" t="s">
        <v>609</v>
      </c>
      <c r="G134" s="15" t="s">
        <v>610</v>
      </c>
      <c r="H134" s="11" t="s">
        <v>72</v>
      </c>
      <c r="I134" s="11"/>
      <c r="J134" s="13"/>
    </row>
    <row r="135" ht="27" spans="1:10">
      <c r="A135" s="11" t="s">
        <v>52</v>
      </c>
      <c r="B135" s="12" t="s">
        <v>105</v>
      </c>
      <c r="C135" s="16" t="str">
        <f>VLOOKUP(Tabla2[[#This Row],[Ámbito]],Tabla14[[Ámbito]:[Código]],2,FALSE)&amp;"-"&amp;Tabla2[[#This Row],[Numeración]]</f>
        <v>REDE-007</v>
      </c>
      <c r="D135" s="11" t="s">
        <v>569</v>
      </c>
      <c r="E135" s="14" t="s">
        <v>570</v>
      </c>
      <c r="F135" s="15" t="s">
        <v>571</v>
      </c>
      <c r="G135" s="15" t="s">
        <v>572</v>
      </c>
      <c r="H135" s="11" t="s">
        <v>72</v>
      </c>
      <c r="I135" s="11"/>
      <c r="J135" s="13"/>
    </row>
    <row r="136" ht="36" spans="1:10">
      <c r="A136" s="11" t="s">
        <v>52</v>
      </c>
      <c r="B136" s="12" t="s">
        <v>110</v>
      </c>
      <c r="C136" s="16" t="str">
        <f>VLOOKUP(Tabla2[[#This Row],[Ámbito]],Tabla14[[Ámbito]:[Código]],2,FALSE)&amp;"-"&amp;Tabla2[[#This Row],[Numeración]]</f>
        <v>REDE-008</v>
      </c>
      <c r="D136" s="11" t="s">
        <v>574</v>
      </c>
      <c r="E136" s="14" t="s">
        <v>575</v>
      </c>
      <c r="F136" s="15" t="s">
        <v>576</v>
      </c>
      <c r="G136" s="15" t="s">
        <v>577</v>
      </c>
      <c r="H136" s="11" t="s">
        <v>72</v>
      </c>
      <c r="I136" s="11"/>
      <c r="J136" s="13"/>
    </row>
    <row r="137" ht="18" spans="1:10">
      <c r="A137" s="11" t="s">
        <v>52</v>
      </c>
      <c r="B137" s="12" t="s">
        <v>115</v>
      </c>
      <c r="C137" s="16" t="str">
        <f>VLOOKUP(Tabla2[[#This Row],[Ámbito]],Tabla14[[Ámbito]:[Código]],2,FALSE)&amp;"-"&amp;Tabla2[[#This Row],[Numeración]]</f>
        <v>REDE-009</v>
      </c>
      <c r="D137" s="11" t="s">
        <v>579</v>
      </c>
      <c r="E137" s="14" t="s">
        <v>580</v>
      </c>
      <c r="F137" s="15" t="s">
        <v>581</v>
      </c>
      <c r="G137" s="15" t="s">
        <v>582</v>
      </c>
      <c r="H137" s="11" t="s">
        <v>72</v>
      </c>
      <c r="I137" s="11"/>
      <c r="J137" s="13"/>
    </row>
    <row r="138" ht="18" spans="1:10">
      <c r="A138" s="11" t="s">
        <v>52</v>
      </c>
      <c r="B138" s="12" t="s">
        <v>120</v>
      </c>
      <c r="C138" s="16" t="str">
        <f>VLOOKUP(Tabla2[[#This Row],[Ámbito]],Tabla14[[Ámbito]:[Código]],2,FALSE)&amp;"-"&amp;Tabla2[[#This Row],[Numeración]]</f>
        <v>REDE-010</v>
      </c>
      <c r="D138" s="11" t="s">
        <v>611</v>
      </c>
      <c r="E138" s="14" t="s">
        <v>612</v>
      </c>
      <c r="F138" s="15" t="s">
        <v>613</v>
      </c>
      <c r="G138" s="15" t="s">
        <v>614</v>
      </c>
      <c r="H138" s="11" t="s">
        <v>72</v>
      </c>
      <c r="I138" s="11"/>
      <c r="J138" s="13"/>
    </row>
    <row r="139" ht="18" spans="1:10">
      <c r="A139" s="11" t="s">
        <v>52</v>
      </c>
      <c r="B139" s="12" t="s">
        <v>125</v>
      </c>
      <c r="C139" s="16" t="str">
        <f>VLOOKUP(Tabla2[[#This Row],[Ámbito]],Tabla14[[Ámbito]:[Código]],2,FALSE)&amp;"-"&amp;Tabla2[[#This Row],[Numeración]]</f>
        <v>REDE-011</v>
      </c>
      <c r="D139" s="11" t="s">
        <v>615</v>
      </c>
      <c r="E139" s="14" t="s">
        <v>616</v>
      </c>
      <c r="F139" s="15" t="s">
        <v>617</v>
      </c>
      <c r="G139" s="15" t="s">
        <v>618</v>
      </c>
      <c r="H139" s="11" t="s">
        <v>72</v>
      </c>
      <c r="I139" s="11"/>
      <c r="J139" s="13"/>
    </row>
    <row r="140" ht="18" spans="1:10">
      <c r="A140" s="11" t="s">
        <v>52</v>
      </c>
      <c r="B140" s="12" t="s">
        <v>202</v>
      </c>
      <c r="C140" s="16" t="str">
        <f>VLOOKUP(Tabla2[[#This Row],[Ámbito]],Tabla14[[Ámbito]:[Código]],2,FALSE)&amp;"-"&amp;Tabla2[[#This Row],[Numeración]]</f>
        <v>REDE-012</v>
      </c>
      <c r="D140" s="11" t="s">
        <v>619</v>
      </c>
      <c r="E140" s="14" t="s">
        <v>620</v>
      </c>
      <c r="F140" s="15" t="s">
        <v>621</v>
      </c>
      <c r="G140" s="15" t="s">
        <v>622</v>
      </c>
      <c r="H140" s="11" t="s">
        <v>72</v>
      </c>
      <c r="I140" s="11"/>
      <c r="J140" s="13"/>
    </row>
    <row r="141" ht="18" spans="1:10">
      <c r="A141" s="11" t="s">
        <v>52</v>
      </c>
      <c r="B141" s="12" t="s">
        <v>207</v>
      </c>
      <c r="C141" s="16" t="str">
        <f>VLOOKUP(Tabla2[[#This Row],[Ámbito]],Tabla14[[Ámbito]:[Código]],2,FALSE)&amp;"-"&amp;Tabla2[[#This Row],[Numeración]]</f>
        <v>REDE-013</v>
      </c>
      <c r="D141" s="11" t="s">
        <v>623</v>
      </c>
      <c r="E141" s="14" t="s">
        <v>624</v>
      </c>
      <c r="F141" s="15" t="s">
        <v>625</v>
      </c>
      <c r="G141" s="15" t="s">
        <v>626</v>
      </c>
      <c r="H141" s="11" t="s">
        <v>72</v>
      </c>
      <c r="I141" s="11"/>
      <c r="J141" s="13"/>
    </row>
    <row r="142" ht="27" spans="1:10">
      <c r="A142" s="11" t="s">
        <v>58</v>
      </c>
      <c r="B142" s="12" t="s">
        <v>75</v>
      </c>
      <c r="C142" s="16" t="str">
        <f>VLOOKUP(Tabla2[[#This Row],[Ámbito]],Tabla14[[Ámbito]:[Código]],2,FALSE)&amp;"-"&amp;Tabla2[[#This Row],[Numeración]]</f>
        <v>TES-001</v>
      </c>
      <c r="D142" s="11" t="s">
        <v>183</v>
      </c>
      <c r="E142" s="14" t="s">
        <v>184</v>
      </c>
      <c r="F142" s="15" t="s">
        <v>482</v>
      </c>
      <c r="G142" s="15" t="s">
        <v>483</v>
      </c>
      <c r="H142" s="11" t="s">
        <v>72</v>
      </c>
      <c r="I142" s="11"/>
      <c r="J142" s="13"/>
    </row>
    <row r="143" ht="18" spans="1:10">
      <c r="A143" s="11" t="s">
        <v>48</v>
      </c>
      <c r="B143" s="12" t="s">
        <v>80</v>
      </c>
      <c r="C143" s="16" t="str">
        <f>VLOOKUP(Tabla2[[#This Row],[Ámbito]],Tabla14[[Ámbito]:[Código]],2,FALSE)&amp;"-"&amp;Tabla2[[#This Row],[Numeración]]</f>
        <v>REDI-002</v>
      </c>
      <c r="D143" s="11" t="s">
        <v>627</v>
      </c>
      <c r="E143" s="14" t="s">
        <v>628</v>
      </c>
      <c r="F143" s="15" t="s">
        <v>629</v>
      </c>
      <c r="G143" s="15" t="s">
        <v>630</v>
      </c>
      <c r="H143" s="11" t="s">
        <v>72</v>
      </c>
      <c r="I143" s="11"/>
      <c r="J143" s="13"/>
    </row>
    <row r="144" ht="27" spans="1:10">
      <c r="A144" s="11" t="s">
        <v>48</v>
      </c>
      <c r="B144" s="12" t="s">
        <v>85</v>
      </c>
      <c r="C144" s="16" t="str">
        <f>VLOOKUP(Tabla2[[#This Row],[Ámbito]],Tabla14[[Ámbito]:[Código]],2,FALSE)&amp;"-"&amp;Tabla2[[#This Row],[Numeración]]</f>
        <v>REDI-003</v>
      </c>
      <c r="D144" s="11" t="s">
        <v>528</v>
      </c>
      <c r="E144" s="14" t="s">
        <v>529</v>
      </c>
      <c r="F144" s="15" t="s">
        <v>530</v>
      </c>
      <c r="G144" s="15" t="s">
        <v>531</v>
      </c>
      <c r="H144" s="11" t="s">
        <v>72</v>
      </c>
      <c r="I144" s="11"/>
      <c r="J144" s="13"/>
    </row>
    <row r="145" ht="18" spans="1:10">
      <c r="A145" s="11" t="s">
        <v>48</v>
      </c>
      <c r="B145" s="12" t="s">
        <v>90</v>
      </c>
      <c r="C145" s="16" t="str">
        <f>VLOOKUP(Tabla2[[#This Row],[Ámbito]],Tabla14[[Ámbito]:[Código]],2,FALSE)&amp;"-"&amp;Tabla2[[#This Row],[Numeración]]</f>
        <v>REDI-004</v>
      </c>
      <c r="D145" s="11" t="s">
        <v>631</v>
      </c>
      <c r="E145" s="14" t="s">
        <v>632</v>
      </c>
      <c r="F145" s="15" t="s">
        <v>633</v>
      </c>
      <c r="G145" s="15" t="s">
        <v>634</v>
      </c>
      <c r="H145" s="11" t="s">
        <v>72</v>
      </c>
      <c r="I145" s="11"/>
      <c r="J145" s="13"/>
    </row>
    <row r="146" ht="27" spans="1:10">
      <c r="A146" s="11" t="s">
        <v>48</v>
      </c>
      <c r="B146" s="12" t="s">
        <v>95</v>
      </c>
      <c r="C146" s="16" t="str">
        <f>VLOOKUP(Tabla2[[#This Row],[Ámbito]],Tabla14[[Ámbito]:[Código]],2,FALSE)&amp;"-"&amp;Tabla2[[#This Row],[Numeración]]</f>
        <v>REDI-005</v>
      </c>
      <c r="D146" s="11" t="s">
        <v>417</v>
      </c>
      <c r="E146" s="14" t="s">
        <v>418</v>
      </c>
      <c r="F146" s="15" t="s">
        <v>546</v>
      </c>
      <c r="G146" s="15" t="s">
        <v>547</v>
      </c>
      <c r="H146" s="11" t="s">
        <v>72</v>
      </c>
      <c r="I146" s="11"/>
      <c r="J146" s="13"/>
    </row>
    <row r="147" ht="18" spans="1:10">
      <c r="A147" s="11" t="s">
        <v>48</v>
      </c>
      <c r="B147" s="12" t="s">
        <v>100</v>
      </c>
      <c r="C147" s="16" t="str">
        <f>VLOOKUP(Tabla2[[#This Row],[Ámbito]],Tabla14[[Ámbito]:[Código]],2,FALSE)&amp;"-"&amp;Tabla2[[#This Row],[Numeración]]</f>
        <v>REDI-006</v>
      </c>
      <c r="D147" s="11" t="s">
        <v>635</v>
      </c>
      <c r="E147" s="14" t="s">
        <v>636</v>
      </c>
      <c r="F147" s="15" t="s">
        <v>637</v>
      </c>
      <c r="G147" s="15" t="s">
        <v>638</v>
      </c>
      <c r="H147" s="11" t="s">
        <v>72</v>
      </c>
      <c r="I147" s="11"/>
      <c r="J147" s="13"/>
    </row>
    <row r="148" ht="18" spans="1:10">
      <c r="A148" s="11" t="s">
        <v>48</v>
      </c>
      <c r="B148" s="12" t="s">
        <v>105</v>
      </c>
      <c r="C148" s="16" t="str">
        <f>VLOOKUP(Tabla2[[#This Row],[Ámbito]],Tabla14[[Ámbito]:[Código]],2,FALSE)&amp;"-"&amp;Tabla2[[#This Row],[Numeración]]</f>
        <v>REDI-007</v>
      </c>
      <c r="D148" s="11" t="s">
        <v>554</v>
      </c>
      <c r="E148" s="14" t="s">
        <v>555</v>
      </c>
      <c r="F148" s="15" t="s">
        <v>556</v>
      </c>
      <c r="G148" s="15" t="s">
        <v>557</v>
      </c>
      <c r="H148" s="11" t="s">
        <v>72</v>
      </c>
      <c r="I148" s="11"/>
      <c r="J148" s="13"/>
    </row>
    <row r="149" ht="18" spans="1:10">
      <c r="A149" s="11" t="s">
        <v>48</v>
      </c>
      <c r="B149" s="12" t="s">
        <v>110</v>
      </c>
      <c r="C149" s="16" t="str">
        <f>VLOOKUP(Tabla2[[#This Row],[Ámbito]],Tabla14[[Ámbito]:[Código]],2,FALSE)&amp;"-"&amp;Tabla2[[#This Row],[Numeración]]</f>
        <v>REDI-008</v>
      </c>
      <c r="D149" s="11" t="s">
        <v>639</v>
      </c>
      <c r="E149" s="14" t="s">
        <v>640</v>
      </c>
      <c r="F149" s="15" t="s">
        <v>641</v>
      </c>
      <c r="G149" s="15" t="s">
        <v>642</v>
      </c>
      <c r="H149" s="11" t="s">
        <v>72</v>
      </c>
      <c r="I149" s="11"/>
      <c r="J149" s="13"/>
    </row>
    <row r="150" ht="18" spans="1:10">
      <c r="A150" s="11" t="s">
        <v>48</v>
      </c>
      <c r="B150" s="12" t="s">
        <v>115</v>
      </c>
      <c r="C150" s="16" t="str">
        <f>VLOOKUP(Tabla2[[#This Row],[Ámbito]],Tabla14[[Ámbito]:[Código]],2,FALSE)&amp;"-"&amp;Tabla2[[#This Row],[Numeración]]</f>
        <v>REDI-009</v>
      </c>
      <c r="D150" s="11" t="s">
        <v>643</v>
      </c>
      <c r="E150" s="14" t="s">
        <v>644</v>
      </c>
      <c r="F150" s="15" t="s">
        <v>645</v>
      </c>
      <c r="G150" s="15" t="s">
        <v>646</v>
      </c>
      <c r="H150" s="11" t="s">
        <v>72</v>
      </c>
      <c r="I150" s="11"/>
      <c r="J150" s="13"/>
    </row>
    <row r="151" ht="18" spans="1:10">
      <c r="A151" s="11" t="s">
        <v>60</v>
      </c>
      <c r="B151" s="12" t="s">
        <v>120</v>
      </c>
      <c r="C151" s="16" t="str">
        <f>VLOOKUP(Tabla2[[#This Row],[Ámbito]],Tabla14[[Ámbito]:[Código]],2,FALSE)&amp;"-"&amp;Tabla2[[#This Row],[Numeración]]</f>
        <v>RHA-010</v>
      </c>
      <c r="D151" s="11" t="s">
        <v>647</v>
      </c>
      <c r="E151" s="14" t="s">
        <v>648</v>
      </c>
      <c r="F151" s="15" t="s">
        <v>649</v>
      </c>
      <c r="G151" s="15" t="s">
        <v>650</v>
      </c>
      <c r="H151" s="11" t="s">
        <v>72</v>
      </c>
      <c r="I151" s="11"/>
      <c r="J151" s="13"/>
    </row>
    <row r="152" spans="1:10">
      <c r="A152" s="11" t="s">
        <v>60</v>
      </c>
      <c r="B152" s="12" t="s">
        <v>125</v>
      </c>
      <c r="C152" s="16" t="s">
        <v>651</v>
      </c>
      <c r="D152" s="11" t="s">
        <v>652</v>
      </c>
      <c r="E152" s="14" t="s">
        <v>653</v>
      </c>
      <c r="F152" s="15" t="s">
        <v>654</v>
      </c>
      <c r="G152" s="15" t="s">
        <v>655</v>
      </c>
      <c r="H152" s="11" t="s">
        <v>72</v>
      </c>
      <c r="I152" s="11"/>
      <c r="J152" s="13"/>
    </row>
    <row r="153" ht="81" spans="1:10">
      <c r="A153" s="11" t="s">
        <v>48</v>
      </c>
      <c r="B153" s="12" t="s">
        <v>202</v>
      </c>
      <c r="C153" s="16" t="str">
        <f>VLOOKUP(Tabla2[[#This Row],[Ámbito]],Tabla14[[Ámbito]:[Código]],2,FALSE)&amp;"-"&amp;Tabla2[[#This Row],[Numeración]]</f>
        <v>REDI-012</v>
      </c>
      <c r="D153" s="11" t="s">
        <v>656</v>
      </c>
      <c r="E153" s="14" t="s">
        <v>657</v>
      </c>
      <c r="F153" s="15" t="s">
        <v>658</v>
      </c>
      <c r="G153" s="15" t="s">
        <v>659</v>
      </c>
      <c r="H153" s="11" t="s">
        <v>72</v>
      </c>
      <c r="I153" s="11"/>
      <c r="J153" s="13"/>
    </row>
    <row r="154" ht="18" spans="1:10">
      <c r="A154" s="11" t="s">
        <v>48</v>
      </c>
      <c r="B154" s="12" t="s">
        <v>207</v>
      </c>
      <c r="C154" s="16" t="str">
        <f>VLOOKUP(Tabla2[[#This Row],[Ámbito]],Tabla14[[Ámbito]:[Código]],2,FALSE)&amp;"-"&amp;Tabla2[[#This Row],[Numeración]]</f>
        <v>REDI-013</v>
      </c>
      <c r="D154" s="11" t="s">
        <v>660</v>
      </c>
      <c r="E154" s="14" t="s">
        <v>661</v>
      </c>
      <c r="F154" s="15" t="s">
        <v>662</v>
      </c>
      <c r="G154" s="15" t="s">
        <v>663</v>
      </c>
      <c r="H154" s="11" t="s">
        <v>72</v>
      </c>
      <c r="I154" s="11"/>
      <c r="J154" s="13"/>
    </row>
    <row r="155" ht="18" spans="1:10">
      <c r="A155" s="11" t="s">
        <v>48</v>
      </c>
      <c r="B155" s="12" t="s">
        <v>212</v>
      </c>
      <c r="C155" s="16" t="str">
        <f>VLOOKUP(Tabla2[[#This Row],[Ámbito]],Tabla14[[Ámbito]:[Código]],2,FALSE)&amp;"-"&amp;Tabla2[[#This Row],[Numeración]]</f>
        <v>REDI-014</v>
      </c>
      <c r="D155" s="11" t="s">
        <v>664</v>
      </c>
      <c r="E155" s="14" t="s">
        <v>665</v>
      </c>
      <c r="F155" s="15" t="s">
        <v>666</v>
      </c>
      <c r="G155" s="15" t="s">
        <v>667</v>
      </c>
      <c r="H155" s="11" t="s">
        <v>72</v>
      </c>
      <c r="I155" s="11"/>
      <c r="J155" s="13"/>
    </row>
    <row r="156" ht="27" spans="1:10">
      <c r="A156" s="11" t="s">
        <v>48</v>
      </c>
      <c r="B156" s="12" t="s">
        <v>217</v>
      </c>
      <c r="C156" s="16" t="str">
        <f>VLOOKUP(Tabla2[[#This Row],[Ámbito]],Tabla14[[Ámbito]:[Código]],2,FALSE)&amp;"-"&amp;Tabla2[[#This Row],[Numeración]]</f>
        <v>REDI-015</v>
      </c>
      <c r="D156" s="11" t="s">
        <v>668</v>
      </c>
      <c r="E156" s="14" t="s">
        <v>669</v>
      </c>
      <c r="F156" s="15" t="s">
        <v>670</v>
      </c>
      <c r="G156" s="15" t="s">
        <v>671</v>
      </c>
      <c r="H156" s="11" t="s">
        <v>72</v>
      </c>
      <c r="I156" s="11"/>
      <c r="J156" s="13"/>
    </row>
    <row r="157" ht="18" spans="1:10">
      <c r="A157" s="11" t="s">
        <v>60</v>
      </c>
      <c r="B157" s="12" t="s">
        <v>540</v>
      </c>
      <c r="C157" s="16" t="str">
        <f>VLOOKUP(Tabla2[[#This Row],[Ámbito]],Tabla14[[Ámbito]:[Código]],2,FALSE)&amp;"-"&amp;Tabla2[[#This Row],[Numeración]]</f>
        <v>RHA-016</v>
      </c>
      <c r="D157" s="11" t="s">
        <v>672</v>
      </c>
      <c r="E157" s="14" t="s">
        <v>673</v>
      </c>
      <c r="F157" s="15" t="s">
        <v>674</v>
      </c>
      <c r="G157" s="15" t="s">
        <v>675</v>
      </c>
      <c r="H157" s="11" t="s">
        <v>72</v>
      </c>
      <c r="I157" s="11"/>
      <c r="J157" s="13"/>
    </row>
    <row r="158" ht="18" spans="1:10">
      <c r="A158" s="11" t="s">
        <v>60</v>
      </c>
      <c r="B158" s="12" t="s">
        <v>545</v>
      </c>
      <c r="C158" s="16" t="str">
        <f>VLOOKUP(Tabla2[[#This Row],[Ámbito]],Tabla14[[Ámbito]:[Código]],2,FALSE)&amp;"-"&amp;Tabla2[[#This Row],[Numeración]]</f>
        <v>RHA-017</v>
      </c>
      <c r="D158" s="11" t="s">
        <v>676</v>
      </c>
      <c r="E158" s="14" t="s">
        <v>677</v>
      </c>
      <c r="F158" s="15" t="s">
        <v>678</v>
      </c>
      <c r="G158" s="15" t="s">
        <v>679</v>
      </c>
      <c r="H158" s="11" t="s">
        <v>72</v>
      </c>
      <c r="I158" s="11"/>
      <c r="J158" s="13"/>
    </row>
    <row r="159" ht="18" spans="1:10">
      <c r="A159" s="11" t="s">
        <v>60</v>
      </c>
      <c r="B159" s="12" t="s">
        <v>548</v>
      </c>
      <c r="C159" s="16" t="s">
        <v>680</v>
      </c>
      <c r="D159" s="11" t="s">
        <v>681</v>
      </c>
      <c r="E159" s="14" t="s">
        <v>682</v>
      </c>
      <c r="F159" s="15" t="s">
        <v>683</v>
      </c>
      <c r="G159" s="15" t="s">
        <v>684</v>
      </c>
      <c r="H159" s="11" t="s">
        <v>72</v>
      </c>
      <c r="I159" s="11"/>
      <c r="J159" s="13"/>
    </row>
    <row r="160" ht="18" spans="1:10">
      <c r="A160" s="11" t="s">
        <v>60</v>
      </c>
      <c r="B160" s="12" t="s">
        <v>553</v>
      </c>
      <c r="C160" s="16" t="str">
        <f>VLOOKUP(Tabla2[[#This Row],[Ámbito]],Tabla14[[Ámbito]:[Código]],2,FALSE)&amp;"-"&amp;Tabla2[[#This Row],[Numeración]]</f>
        <v>RHA-019</v>
      </c>
      <c r="D160" s="11" t="s">
        <v>685</v>
      </c>
      <c r="E160" s="14" t="s">
        <v>686</v>
      </c>
      <c r="F160" s="15" t="s">
        <v>687</v>
      </c>
      <c r="G160" s="15" t="s">
        <v>688</v>
      </c>
      <c r="H160" s="11" t="s">
        <v>72</v>
      </c>
      <c r="I160" s="11"/>
      <c r="J160" s="13"/>
    </row>
    <row r="161" ht="18" spans="1:10">
      <c r="A161" s="11" t="s">
        <v>60</v>
      </c>
      <c r="B161" s="12" t="s">
        <v>558</v>
      </c>
      <c r="C161" s="16" t="str">
        <f>VLOOKUP(Tabla2[[#This Row],[Ámbito]],Tabla14[[Ámbito]:[Código]],2,FALSE)&amp;"-"&amp;Tabla2[[#This Row],[Numeración]]</f>
        <v>RHA-020</v>
      </c>
      <c r="D161" s="11" t="s">
        <v>689</v>
      </c>
      <c r="E161" s="14" t="s">
        <v>690</v>
      </c>
      <c r="F161" s="15" t="s">
        <v>691</v>
      </c>
      <c r="G161" s="15" t="s">
        <v>692</v>
      </c>
      <c r="H161" s="11" t="s">
        <v>72</v>
      </c>
      <c r="I161" s="11"/>
      <c r="J161" s="13"/>
    </row>
    <row r="162" ht="18" spans="1:10">
      <c r="A162" s="11" t="s">
        <v>60</v>
      </c>
      <c r="B162" s="12" t="s">
        <v>563</v>
      </c>
      <c r="C162" s="16" t="str">
        <f>VLOOKUP(Tabla2[[#This Row],[Ámbito]],Tabla14[[Ámbito]:[Código]],2,FALSE)&amp;"-"&amp;Tabla2[[#This Row],[Numeración]]</f>
        <v>RHA-021</v>
      </c>
      <c r="D162" s="11" t="s">
        <v>693</v>
      </c>
      <c r="E162" s="14" t="s">
        <v>694</v>
      </c>
      <c r="F162" s="15" t="s">
        <v>695</v>
      </c>
      <c r="G162" s="15" t="s">
        <v>696</v>
      </c>
      <c r="H162" s="11" t="s">
        <v>72</v>
      </c>
      <c r="I162" s="11"/>
      <c r="J162" s="13"/>
    </row>
    <row r="163" ht="36" spans="1:10">
      <c r="A163" s="11" t="s">
        <v>60</v>
      </c>
      <c r="B163" s="12" t="s">
        <v>568</v>
      </c>
      <c r="C163" s="16" t="str">
        <f>VLOOKUP(Tabla2[[#This Row],[Ámbito]],Tabla14[[Ámbito]:[Código]],2,FALSE)&amp;"-"&amp;Tabla2[[#This Row],[Numeración]]</f>
        <v>RHA-022</v>
      </c>
      <c r="D163" s="11" t="s">
        <v>697</v>
      </c>
      <c r="E163" s="14" t="s">
        <v>698</v>
      </c>
      <c r="F163" s="15" t="s">
        <v>699</v>
      </c>
      <c r="G163" s="15" t="s">
        <v>700</v>
      </c>
      <c r="H163" s="11" t="s">
        <v>72</v>
      </c>
      <c r="I163" s="11"/>
      <c r="J163" s="13"/>
    </row>
    <row r="164" spans="1:10">
      <c r="A164" s="11" t="s">
        <v>60</v>
      </c>
      <c r="B164" s="12" t="s">
        <v>573</v>
      </c>
      <c r="C164" s="16" t="str">
        <f>VLOOKUP(Tabla2[[#This Row],[Ámbito]],Tabla14[[Ámbito]:[Código]],2,FALSE)&amp;"-"&amp;Tabla2[[#This Row],[Numeración]]</f>
        <v>RHA-023</v>
      </c>
      <c r="D164" s="11" t="s">
        <v>701</v>
      </c>
      <c r="E164" s="14" t="s">
        <v>702</v>
      </c>
      <c r="F164" s="15" t="s">
        <v>699</v>
      </c>
      <c r="G164" s="15" t="s">
        <v>703</v>
      </c>
      <c r="H164" s="11" t="s">
        <v>72</v>
      </c>
      <c r="I164" s="11"/>
      <c r="J164" s="13"/>
    </row>
    <row r="165" ht="36" spans="1:10">
      <c r="A165" s="11" t="s">
        <v>48</v>
      </c>
      <c r="B165" s="12" t="s">
        <v>578</v>
      </c>
      <c r="C165" s="16" t="str">
        <f>VLOOKUP(Tabla2[[#This Row],[Ámbito]],Tabla14[[Ámbito]:[Código]],2,FALSE)&amp;"-"&amp;Tabla2[[#This Row],[Numeración]]</f>
        <v>REDI-024</v>
      </c>
      <c r="D165" s="11" t="s">
        <v>704</v>
      </c>
      <c r="E165" s="14" t="s">
        <v>705</v>
      </c>
      <c r="F165" s="15" t="s">
        <v>706</v>
      </c>
      <c r="G165" s="15" t="s">
        <v>707</v>
      </c>
      <c r="H165" s="11" t="s">
        <v>72</v>
      </c>
      <c r="I165" s="11"/>
      <c r="J165" s="13"/>
    </row>
    <row r="166" ht="18" spans="1:10">
      <c r="A166" s="11" t="s">
        <v>56</v>
      </c>
      <c r="B166" s="12" t="s">
        <v>583</v>
      </c>
      <c r="C166" s="16" t="str">
        <f>VLOOKUP(Tabla2[[#This Row],[Ámbito]],Tabla14[[Ámbito]:[Código]],2,FALSE)&amp;"-"&amp;Tabla2[[#This Row],[Numeración]]</f>
        <v>REI-025</v>
      </c>
      <c r="D166" s="11" t="s">
        <v>708</v>
      </c>
      <c r="E166" s="14" t="s">
        <v>709</v>
      </c>
      <c r="F166" s="15" t="s">
        <v>710</v>
      </c>
      <c r="G166" s="15" t="s">
        <v>711</v>
      </c>
      <c r="H166" s="11" t="s">
        <v>72</v>
      </c>
      <c r="I166" s="11"/>
      <c r="J166" s="13"/>
    </row>
    <row r="167" ht="18" spans="1:10">
      <c r="A167" s="11" t="s">
        <v>48</v>
      </c>
      <c r="B167" s="12" t="s">
        <v>588</v>
      </c>
      <c r="C167" s="16" t="str">
        <f>VLOOKUP(Tabla2[[#This Row],[Ámbito]],Tabla14[[Ámbito]:[Código]],2,FALSE)&amp;"-"&amp;Tabla2[[#This Row],[Numeración]]</f>
        <v>REDI-026</v>
      </c>
      <c r="D167" s="11" t="s">
        <v>712</v>
      </c>
      <c r="E167" s="14" t="s">
        <v>713</v>
      </c>
      <c r="F167" s="15" t="s">
        <v>714</v>
      </c>
      <c r="G167" s="15" t="s">
        <v>715</v>
      </c>
      <c r="H167" s="11" t="s">
        <v>72</v>
      </c>
      <c r="I167" s="11"/>
      <c r="J167" s="13"/>
    </row>
    <row r="168" ht="27" spans="1:10">
      <c r="A168" s="11" t="s">
        <v>48</v>
      </c>
      <c r="B168" s="12" t="s">
        <v>593</v>
      </c>
      <c r="C168" s="16" t="str">
        <f>VLOOKUP(Tabla2[[#This Row],[Ámbito]],Tabla14[[Ámbito]:[Código]],2,FALSE)&amp;"-"&amp;Tabla2[[#This Row],[Numeración]]</f>
        <v>REDI-027</v>
      </c>
      <c r="D168" s="11" t="s">
        <v>584</v>
      </c>
      <c r="E168" s="14" t="s">
        <v>585</v>
      </c>
      <c r="F168" s="15" t="s">
        <v>586</v>
      </c>
      <c r="G168" s="15" t="s">
        <v>587</v>
      </c>
      <c r="H168" s="11" t="s">
        <v>72</v>
      </c>
      <c r="I168" s="11"/>
      <c r="J168" s="13"/>
    </row>
    <row r="169" ht="18" spans="1:10">
      <c r="A169" s="11" t="s">
        <v>48</v>
      </c>
      <c r="B169" s="12" t="s">
        <v>716</v>
      </c>
      <c r="C169" s="16" t="str">
        <f>VLOOKUP(Tabla2[[#This Row],[Ámbito]],Tabla14[[Ámbito]:[Código]],2,FALSE)&amp;"-"&amp;Tabla2[[#This Row],[Numeración]]</f>
        <v>REDI-028</v>
      </c>
      <c r="D169" s="11" t="s">
        <v>717</v>
      </c>
      <c r="E169" s="14" t="s">
        <v>718</v>
      </c>
      <c r="F169" s="15" t="s">
        <v>719</v>
      </c>
      <c r="G169" s="15" t="s">
        <v>720</v>
      </c>
      <c r="H169" s="11" t="s">
        <v>72</v>
      </c>
      <c r="I169" s="11"/>
      <c r="J169" s="13"/>
    </row>
    <row r="170" ht="18" spans="1:10">
      <c r="A170" s="11" t="s">
        <v>48</v>
      </c>
      <c r="B170" s="12" t="s">
        <v>721</v>
      </c>
      <c r="C170" s="16" t="str">
        <f>VLOOKUP(Tabla2[[#This Row],[Ámbito]],Tabla14[[Ámbito]:[Código]],2,FALSE)&amp;"-"&amp;Tabla2[[#This Row],[Numeración]]</f>
        <v>REDI-029</v>
      </c>
      <c r="D170" s="11" t="s">
        <v>722</v>
      </c>
      <c r="E170" s="14" t="s">
        <v>723</v>
      </c>
      <c r="F170" s="15" t="s">
        <v>724</v>
      </c>
      <c r="G170" s="15" t="s">
        <v>725</v>
      </c>
      <c r="H170" s="11" t="s">
        <v>72</v>
      </c>
      <c r="I170" s="11"/>
      <c r="J170" s="13"/>
    </row>
    <row r="171" ht="27" spans="1:10">
      <c r="A171" s="11" t="s">
        <v>48</v>
      </c>
      <c r="B171" s="12" t="s">
        <v>726</v>
      </c>
      <c r="C171" s="16" t="str">
        <f>VLOOKUP(Tabla2[[#This Row],[Ámbito]],Tabla14[[Ámbito]:[Código]],2,FALSE)&amp;"-"&amp;Tabla2[[#This Row],[Numeración]]</f>
        <v>REDI-030</v>
      </c>
      <c r="D171" s="11" t="s">
        <v>727</v>
      </c>
      <c r="E171" s="14" t="s">
        <v>728</v>
      </c>
      <c r="F171" s="15" t="s">
        <v>729</v>
      </c>
      <c r="G171" s="15" t="s">
        <v>730</v>
      </c>
      <c r="H171" s="11" t="s">
        <v>72</v>
      </c>
      <c r="I171" s="11"/>
      <c r="J171" s="13"/>
    </row>
    <row r="172" ht="18" spans="1:10">
      <c r="A172" s="11" t="s">
        <v>48</v>
      </c>
      <c r="B172" s="12" t="s">
        <v>731</v>
      </c>
      <c r="C172" s="16" t="str">
        <f>VLOOKUP(Tabla2[[#This Row],[Ámbito]],Tabla14[[Ámbito]:[Código]],2,FALSE)&amp;"-"&amp;Tabla2[[#This Row],[Numeración]]</f>
        <v>REDI-031</v>
      </c>
      <c r="D172" s="11" t="s">
        <v>589</v>
      </c>
      <c r="E172" s="14" t="s">
        <v>590</v>
      </c>
      <c r="F172" s="15" t="s">
        <v>591</v>
      </c>
      <c r="G172" s="15" t="s">
        <v>592</v>
      </c>
      <c r="H172" s="11" t="s">
        <v>72</v>
      </c>
      <c r="I172" s="11"/>
      <c r="J172" s="13"/>
    </row>
    <row r="173" ht="18" spans="1:10">
      <c r="A173" s="11" t="s">
        <v>48</v>
      </c>
      <c r="B173" s="12" t="s">
        <v>732</v>
      </c>
      <c r="C173" s="16" t="str">
        <f>VLOOKUP(Tabla2[[#This Row],[Ámbito]],Tabla14[[Ámbito]:[Código]],2,FALSE)&amp;"-"&amp;Tabla2[[#This Row],[Numeración]]</f>
        <v>REDI-032</v>
      </c>
      <c r="D173" s="11" t="s">
        <v>594</v>
      </c>
      <c r="E173" s="14" t="s">
        <v>590</v>
      </c>
      <c r="F173" s="15" t="s">
        <v>591</v>
      </c>
      <c r="G173" s="15" t="s">
        <v>592</v>
      </c>
      <c r="H173" s="11" t="s">
        <v>72</v>
      </c>
      <c r="I173" s="11"/>
      <c r="J173" s="13"/>
    </row>
    <row r="174" ht="18" spans="1:10">
      <c r="A174" s="11" t="s">
        <v>48</v>
      </c>
      <c r="B174" s="12" t="s">
        <v>733</v>
      </c>
      <c r="C174" s="16" t="str">
        <f>VLOOKUP(Tabla2[[#This Row],[Ámbito]],Tabla14[[Ámbito]:[Código]],2,FALSE)&amp;"-"&amp;Tabla2[[#This Row],[Numeración]]</f>
        <v>REDI-033</v>
      </c>
      <c r="D174" s="11" t="s">
        <v>734</v>
      </c>
      <c r="E174" s="14" t="s">
        <v>735</v>
      </c>
      <c r="F174" s="15" t="s">
        <v>736</v>
      </c>
      <c r="G174" s="15" t="s">
        <v>737</v>
      </c>
      <c r="H174" s="11" t="s">
        <v>72</v>
      </c>
      <c r="I174" s="11"/>
      <c r="J174" s="13"/>
    </row>
    <row r="175" ht="27" spans="1:10">
      <c r="A175" s="11" t="s">
        <v>54</v>
      </c>
      <c r="B175" s="12" t="s">
        <v>75</v>
      </c>
      <c r="C175" s="16" t="str">
        <f>VLOOKUP(Tabla2[[#This Row],[Ámbito]],Tabla14[[Ámbito]:[Código]],2,FALSE)&amp;"-"&amp;Tabla2[[#This Row],[Numeración]]</f>
        <v>REO-001</v>
      </c>
      <c r="D175" s="11" t="s">
        <v>738</v>
      </c>
      <c r="E175" s="14" t="s">
        <v>739</v>
      </c>
      <c r="F175" s="15" t="s">
        <v>740</v>
      </c>
      <c r="G175" s="15" t="s">
        <v>741</v>
      </c>
      <c r="H175" s="11" t="s">
        <v>72</v>
      </c>
      <c r="I175" s="11"/>
      <c r="J175" s="13"/>
    </row>
    <row r="176" ht="36" spans="1:10">
      <c r="A176" s="11" t="s">
        <v>54</v>
      </c>
      <c r="B176" s="12" t="s">
        <v>80</v>
      </c>
      <c r="C176" s="16" t="str">
        <f>VLOOKUP(Tabla2[[#This Row],[Ámbito]],Tabla14[[Ámbito]:[Código]],2,FALSE)&amp;"-"&amp;Tabla2[[#This Row],[Numeración]]</f>
        <v>REO-002</v>
      </c>
      <c r="D176" s="11" t="s">
        <v>595</v>
      </c>
      <c r="E176" s="14" t="s">
        <v>596</v>
      </c>
      <c r="F176" s="15" t="s">
        <v>597</v>
      </c>
      <c r="G176" s="15" t="s">
        <v>598</v>
      </c>
      <c r="H176" s="11" t="s">
        <v>72</v>
      </c>
      <c r="I176" s="11"/>
      <c r="J176" s="13"/>
    </row>
    <row r="177" ht="18" spans="1:10">
      <c r="A177" s="11" t="s">
        <v>54</v>
      </c>
      <c r="B177" s="12" t="s">
        <v>85</v>
      </c>
      <c r="C177" s="16" t="s">
        <v>742</v>
      </c>
      <c r="D177" s="11" t="s">
        <v>599</v>
      </c>
      <c r="E177" s="14" t="s">
        <v>600</v>
      </c>
      <c r="F177" s="15" t="s">
        <v>601</v>
      </c>
      <c r="G177" s="15" t="s">
        <v>602</v>
      </c>
      <c r="H177" s="11" t="s">
        <v>72</v>
      </c>
      <c r="I177" s="11"/>
      <c r="J177" s="13"/>
    </row>
    <row r="178" ht="27" spans="1:10">
      <c r="A178" s="11" t="s">
        <v>54</v>
      </c>
      <c r="B178" s="12" t="s">
        <v>90</v>
      </c>
      <c r="C178" s="16" t="str">
        <f>VLOOKUP(Tabla2[[#This Row],[Ámbito]],Tabla14[[Ámbito]:[Código]],2,FALSE)&amp;"-"&amp;Tabla2[[#This Row],[Numeración]]</f>
        <v>REO-004</v>
      </c>
      <c r="D178" s="11" t="s">
        <v>743</v>
      </c>
      <c r="E178" s="14" t="s">
        <v>744</v>
      </c>
      <c r="F178" s="15" t="s">
        <v>745</v>
      </c>
      <c r="G178" s="15" t="s">
        <v>746</v>
      </c>
      <c r="H178" s="11" t="s">
        <v>72</v>
      </c>
      <c r="I178" s="11"/>
      <c r="J178" s="13"/>
    </row>
    <row r="179" ht="18" spans="1:10">
      <c r="A179" s="11" t="s">
        <v>54</v>
      </c>
      <c r="B179" s="12" t="s">
        <v>95</v>
      </c>
      <c r="C179" s="16" t="str">
        <f>VLOOKUP(Tabla2[[#This Row],[Ámbito]],Tabla14[[Ámbito]:[Código]],2,FALSE)&amp;"-"&amp;Tabla2[[#This Row],[Numeración]]</f>
        <v>REO-005</v>
      </c>
      <c r="D179" s="11" t="s">
        <v>747</v>
      </c>
      <c r="E179" s="14" t="s">
        <v>748</v>
      </c>
      <c r="F179" s="15" t="s">
        <v>749</v>
      </c>
      <c r="G179" s="15" t="s">
        <v>750</v>
      </c>
      <c r="H179" s="11" t="s">
        <v>72</v>
      </c>
      <c r="I179" s="11"/>
      <c r="J179" s="13"/>
    </row>
    <row r="180" ht="18" spans="1:10">
      <c r="A180" s="11" t="s">
        <v>54</v>
      </c>
      <c r="B180" s="12" t="s">
        <v>100</v>
      </c>
      <c r="C180" s="16" t="str">
        <f>VLOOKUP(Tabla2[[#This Row],[Ámbito]],Tabla14[[Ámbito]:[Código]],2,FALSE)&amp;"-"&amp;Tabla2[[#This Row],[Numeración]]</f>
        <v>REO-006</v>
      </c>
      <c r="D180" s="11" t="s">
        <v>751</v>
      </c>
      <c r="E180" s="14" t="s">
        <v>752</v>
      </c>
      <c r="F180" s="15" t="s">
        <v>753</v>
      </c>
      <c r="G180" s="15" t="s">
        <v>754</v>
      </c>
      <c r="H180" s="11" t="s">
        <v>72</v>
      </c>
      <c r="I180" s="11"/>
      <c r="J180" s="13"/>
    </row>
    <row r="181" ht="27" spans="1:10">
      <c r="A181" s="11" t="s">
        <v>54</v>
      </c>
      <c r="B181" s="12" t="s">
        <v>105</v>
      </c>
      <c r="C181" s="16" t="str">
        <f>VLOOKUP(Tabla2[[#This Row],[Ámbito]],Tabla14[[Ámbito]:[Código]],2,FALSE)&amp;"-"&amp;Tabla2[[#This Row],[Numeración]]</f>
        <v>REO-007</v>
      </c>
      <c r="D181" s="11" t="s">
        <v>755</v>
      </c>
      <c r="E181" s="14" t="s">
        <v>756</v>
      </c>
      <c r="F181" s="15" t="s">
        <v>757</v>
      </c>
      <c r="G181" s="15" t="s">
        <v>758</v>
      </c>
      <c r="H181" s="11" t="s">
        <v>72</v>
      </c>
      <c r="I181" s="11"/>
      <c r="J181" s="13"/>
    </row>
    <row r="182" ht="27" spans="1:10">
      <c r="A182" s="11" t="s">
        <v>54</v>
      </c>
      <c r="B182" s="12" t="s">
        <v>110</v>
      </c>
      <c r="C182" s="16" t="str">
        <f>VLOOKUP(Tabla2[[#This Row],[Ámbito]],Tabla14[[Ámbito]:[Código]],2,FALSE)&amp;"-"&amp;Tabla2[[#This Row],[Numeración]]</f>
        <v>REO-008</v>
      </c>
      <c r="D182" s="11" t="s">
        <v>759</v>
      </c>
      <c r="E182" s="14" t="s">
        <v>760</v>
      </c>
      <c r="F182" s="15" t="s">
        <v>761</v>
      </c>
      <c r="G182" s="15" t="s">
        <v>762</v>
      </c>
      <c r="H182" s="11" t="s">
        <v>72</v>
      </c>
      <c r="I182" s="11"/>
      <c r="J182" s="13"/>
    </row>
    <row r="183" ht="45" spans="1:10">
      <c r="A183" s="11" t="s">
        <v>54</v>
      </c>
      <c r="B183" s="12" t="s">
        <v>115</v>
      </c>
      <c r="C183" s="16" t="str">
        <f>VLOOKUP(Tabla2[[#This Row],[Ámbito]],Tabla14[[Ámbito]:[Código]],2,FALSE)&amp;"-"&amp;Tabla2[[#This Row],[Numeración]]</f>
        <v>REO-009</v>
      </c>
      <c r="D183" s="11" t="s">
        <v>763</v>
      </c>
      <c r="E183" s="14" t="s">
        <v>764</v>
      </c>
      <c r="F183" s="15" t="s">
        <v>765</v>
      </c>
      <c r="G183" s="15" t="s">
        <v>766</v>
      </c>
      <c r="H183" s="11" t="s">
        <v>72</v>
      </c>
      <c r="I183" s="11"/>
      <c r="J183" s="13"/>
    </row>
    <row r="184" ht="45" spans="1:10">
      <c r="A184" s="11" t="s">
        <v>54</v>
      </c>
      <c r="B184" s="12" t="s">
        <v>120</v>
      </c>
      <c r="C184" s="16" t="str">
        <f>VLOOKUP(Tabla2[[#This Row],[Ámbito]],Tabla14[[Ámbito]:[Código]],2,FALSE)&amp;"-"&amp;Tabla2[[#This Row],[Numeración]]</f>
        <v>REO-010</v>
      </c>
      <c r="D184" s="11" t="s">
        <v>767</v>
      </c>
      <c r="E184" s="14" t="s">
        <v>768</v>
      </c>
      <c r="F184" s="15" t="s">
        <v>769</v>
      </c>
      <c r="G184" s="15" t="s">
        <v>770</v>
      </c>
      <c r="H184" s="11" t="s">
        <v>72</v>
      </c>
      <c r="I184" s="11"/>
      <c r="J184" s="13"/>
    </row>
    <row r="185" ht="18" spans="1:10">
      <c r="A185" s="11" t="s">
        <v>54</v>
      </c>
      <c r="B185" s="12" t="s">
        <v>125</v>
      </c>
      <c r="C185" s="16" t="str">
        <f>VLOOKUP(Tabla2[[#This Row],[Ámbito]],Tabla14[[Ámbito]:[Código]],2,FALSE)&amp;"-"&amp;Tabla2[[#This Row],[Numeración]]</f>
        <v>REO-011</v>
      </c>
      <c r="D185" s="11" t="s">
        <v>771</v>
      </c>
      <c r="E185" s="14" t="s">
        <v>772</v>
      </c>
      <c r="F185" s="15" t="s">
        <v>773</v>
      </c>
      <c r="G185" s="15" t="s">
        <v>774</v>
      </c>
      <c r="H185" s="11" t="s">
        <v>72</v>
      </c>
      <c r="I185" s="11"/>
      <c r="J185" s="13"/>
    </row>
    <row r="186" ht="18" spans="1:10">
      <c r="A186" s="11" t="s">
        <v>54</v>
      </c>
      <c r="B186" s="12" t="s">
        <v>202</v>
      </c>
      <c r="C186" s="16" t="str">
        <f>VLOOKUP(Tabla2[[#This Row],[Ámbito]],Tabla14[[Ámbito]:[Código]],2,FALSE)&amp;"-"&amp;Tabla2[[#This Row],[Numeración]]</f>
        <v>REO-012</v>
      </c>
      <c r="D186" s="11" t="s">
        <v>775</v>
      </c>
      <c r="E186" s="14" t="s">
        <v>776</v>
      </c>
      <c r="F186" s="15" t="s">
        <v>777</v>
      </c>
      <c r="G186" s="15" t="s">
        <v>778</v>
      </c>
      <c r="H186" s="11" t="s">
        <v>72</v>
      </c>
      <c r="I186" s="11"/>
      <c r="J186" s="13"/>
    </row>
    <row r="187" ht="18" spans="1:10">
      <c r="A187" s="11" t="s">
        <v>54</v>
      </c>
      <c r="B187" s="12" t="s">
        <v>207</v>
      </c>
      <c r="C187" s="16" t="str">
        <f>VLOOKUP(Tabla2[[#This Row],[Ámbito]],Tabla14[[Ámbito]:[Código]],2,FALSE)&amp;"-"&amp;Tabla2[[#This Row],[Numeración]]</f>
        <v>REO-013</v>
      </c>
      <c r="D187" s="11" t="s">
        <v>603</v>
      </c>
      <c r="E187" s="14" t="s">
        <v>604</v>
      </c>
      <c r="F187" s="15" t="s">
        <v>605</v>
      </c>
      <c r="G187" s="15" t="s">
        <v>606</v>
      </c>
      <c r="H187" s="11" t="s">
        <v>72</v>
      </c>
      <c r="I187" s="11"/>
      <c r="J187" s="13"/>
    </row>
    <row r="188" ht="18" spans="1:10">
      <c r="A188" s="11" t="s">
        <v>54</v>
      </c>
      <c r="B188" s="12" t="s">
        <v>212</v>
      </c>
      <c r="C188" s="16" t="str">
        <f>VLOOKUP(Tabla2[[#This Row],[Ámbito]],Tabla14[[Ámbito]:[Código]],2,FALSE)&amp;"-"&amp;Tabla2[[#This Row],[Numeración]]</f>
        <v>REO-014</v>
      </c>
      <c r="D188" s="11" t="s">
        <v>779</v>
      </c>
      <c r="E188" s="14" t="s">
        <v>780</v>
      </c>
      <c r="F188" s="15" t="s">
        <v>781</v>
      </c>
      <c r="G188" s="15" t="s">
        <v>782</v>
      </c>
      <c r="H188" s="11" t="s">
        <v>72</v>
      </c>
      <c r="I188" s="11"/>
      <c r="J188" s="13"/>
    </row>
    <row r="189" ht="36" spans="1:10">
      <c r="A189" s="11" t="s">
        <v>54</v>
      </c>
      <c r="B189" s="12" t="s">
        <v>217</v>
      </c>
      <c r="C189" s="16" t="str">
        <f>VLOOKUP(Tabla2[[#This Row],[Ámbito]],Tabla14[[Ámbito]:[Código]],2,FALSE)&amp;"-"&amp;Tabla2[[#This Row],[Numeración]]</f>
        <v>REO-015</v>
      </c>
      <c r="D189" s="11" t="s">
        <v>783</v>
      </c>
      <c r="E189" s="14" t="s">
        <v>784</v>
      </c>
      <c r="F189" s="15" t="s">
        <v>785</v>
      </c>
      <c r="G189" s="15" t="s">
        <v>786</v>
      </c>
      <c r="H189" s="11" t="s">
        <v>72</v>
      </c>
      <c r="I189" s="11"/>
      <c r="J189" s="13"/>
    </row>
    <row r="190" ht="18" spans="1:10">
      <c r="A190" s="11" t="s">
        <v>54</v>
      </c>
      <c r="B190" s="12" t="s">
        <v>540</v>
      </c>
      <c r="C190" s="16" t="str">
        <f>VLOOKUP(Tabla2[[#This Row],[Ámbito]],Tabla14[[Ámbito]:[Código]],2,FALSE)&amp;"-"&amp;Tabla2[[#This Row],[Numeración]]</f>
        <v>REO-016</v>
      </c>
      <c r="D190" s="11" t="s">
        <v>787</v>
      </c>
      <c r="E190" s="14" t="s">
        <v>788</v>
      </c>
      <c r="F190" s="15" t="s">
        <v>789</v>
      </c>
      <c r="G190" s="15" t="s">
        <v>790</v>
      </c>
      <c r="H190" s="11" t="s">
        <v>72</v>
      </c>
      <c r="I190" s="11"/>
      <c r="J190" s="13"/>
    </row>
    <row r="191" spans="1:10">
      <c r="A191" s="11" t="s">
        <v>58</v>
      </c>
      <c r="B191" s="12" t="s">
        <v>545</v>
      </c>
      <c r="C191" s="16" t="str">
        <f>VLOOKUP(Tabla2[[#This Row],[Ámbito]],Tabla14[[Ámbito]:[Código]],2,FALSE)&amp;"-"&amp;Tabla2[[#This Row],[Numeración]]</f>
        <v>TES-017</v>
      </c>
      <c r="D191" s="11" t="s">
        <v>791</v>
      </c>
      <c r="E191" s="14" t="s">
        <v>792</v>
      </c>
      <c r="F191" s="15" t="s">
        <v>793</v>
      </c>
      <c r="G191" s="15" t="s">
        <v>794</v>
      </c>
      <c r="H191" s="11" t="s">
        <v>72</v>
      </c>
      <c r="I191" s="11"/>
      <c r="J191" s="13"/>
    </row>
    <row r="192" spans="1:10">
      <c r="A192" s="11" t="s">
        <v>58</v>
      </c>
      <c r="B192" s="12" t="s">
        <v>548</v>
      </c>
      <c r="C192" s="16" t="str">
        <f>VLOOKUP(Tabla2[[#This Row],[Ámbito]],Tabla14[[Ámbito]:[Código]],2,FALSE)&amp;"-"&amp;Tabla2[[#This Row],[Numeración]]</f>
        <v>TES-018</v>
      </c>
      <c r="D192" s="11" t="s">
        <v>795</v>
      </c>
      <c r="E192" s="14" t="s">
        <v>796</v>
      </c>
      <c r="F192" s="15" t="s">
        <v>797</v>
      </c>
      <c r="G192" s="15" t="s">
        <v>798</v>
      </c>
      <c r="H192" s="11" t="s">
        <v>72</v>
      </c>
      <c r="I192" s="11"/>
      <c r="J192" s="13"/>
    </row>
    <row r="193" ht="18" spans="1:10">
      <c r="A193" s="11" t="s">
        <v>58</v>
      </c>
      <c r="B193" s="12" t="s">
        <v>553</v>
      </c>
      <c r="C193" s="16" t="str">
        <f>VLOOKUP(Tabla2[[#This Row],[Ámbito]],Tabla14[[Ámbito]:[Código]],2,FALSE)&amp;"-"&amp;Tabla2[[#This Row],[Numeración]]</f>
        <v>TES-019</v>
      </c>
      <c r="D193" s="11" t="s">
        <v>500</v>
      </c>
      <c r="E193" s="14" t="s">
        <v>501</v>
      </c>
      <c r="F193" s="15" t="s">
        <v>502</v>
      </c>
      <c r="G193" s="15" t="s">
        <v>503</v>
      </c>
      <c r="H193" s="11" t="s">
        <v>72</v>
      </c>
      <c r="I193" s="11"/>
      <c r="J193" s="13"/>
    </row>
    <row r="194" ht="18" spans="1:10">
      <c r="A194" s="11" t="s">
        <v>58</v>
      </c>
      <c r="B194" s="12" t="s">
        <v>558</v>
      </c>
      <c r="C194" s="16" t="str">
        <f>VLOOKUP(Tabla2[[#This Row],[Ámbito]],Tabla14[[Ámbito]:[Código]],2,FALSE)&amp;"-"&amp;Tabla2[[#This Row],[Numeración]]</f>
        <v>TES-020</v>
      </c>
      <c r="D194" s="11" t="s">
        <v>504</v>
      </c>
      <c r="E194" s="14" t="s">
        <v>505</v>
      </c>
      <c r="F194" s="15" t="s">
        <v>506</v>
      </c>
      <c r="G194" s="15" t="s">
        <v>507</v>
      </c>
      <c r="H194" s="11" t="s">
        <v>72</v>
      </c>
      <c r="I194" s="11"/>
      <c r="J194" s="13"/>
    </row>
    <row r="195" ht="18" spans="1:10">
      <c r="A195" s="11" t="s">
        <v>54</v>
      </c>
      <c r="B195" s="12" t="s">
        <v>563</v>
      </c>
      <c r="C195" s="16" t="str">
        <f>VLOOKUP(Tabla2[[#This Row],[Ámbito]],Tabla14[[Ámbito]:[Código]],2,FALSE)&amp;"-"&amp;Tabla2[[#This Row],[Numeración]]</f>
        <v>REO-021</v>
      </c>
      <c r="D195" s="11" t="s">
        <v>520</v>
      </c>
      <c r="E195" s="14" t="s">
        <v>521</v>
      </c>
      <c r="F195" s="15" t="s">
        <v>522</v>
      </c>
      <c r="G195" s="15" t="s">
        <v>523</v>
      </c>
      <c r="H195" s="11" t="s">
        <v>72</v>
      </c>
      <c r="I195" s="11"/>
      <c r="J195" s="13"/>
    </row>
    <row r="196" ht="18" spans="1:10">
      <c r="A196" s="11" t="s">
        <v>54</v>
      </c>
      <c r="B196" s="12" t="s">
        <v>568</v>
      </c>
      <c r="C196" s="16" t="str">
        <f>VLOOKUP(Tabla2[[#This Row],[Ámbito]],Tabla14[[Ámbito]:[Código]],2,FALSE)&amp;"-"&amp;Tabla2[[#This Row],[Numeración]]</f>
        <v>REO-022</v>
      </c>
      <c r="D196" s="11" t="s">
        <v>631</v>
      </c>
      <c r="E196" s="14" t="s">
        <v>632</v>
      </c>
      <c r="F196" s="15" t="s">
        <v>633</v>
      </c>
      <c r="G196" s="15" t="s">
        <v>634</v>
      </c>
      <c r="H196" s="11" t="s">
        <v>72</v>
      </c>
      <c r="I196" s="11"/>
      <c r="J196" s="13"/>
    </row>
    <row r="197" ht="27" spans="1:10">
      <c r="A197" s="11" t="s">
        <v>54</v>
      </c>
      <c r="B197" s="12" t="s">
        <v>573</v>
      </c>
      <c r="C197" s="16" t="str">
        <f>VLOOKUP(Tabla2[[#This Row],[Ámbito]],Tabla14[[Ámbito]:[Código]],2,FALSE)&amp;"-"&amp;Tabla2[[#This Row],[Numeración]]</f>
        <v>REO-023</v>
      </c>
      <c r="D197" s="11" t="s">
        <v>417</v>
      </c>
      <c r="E197" s="14" t="s">
        <v>418</v>
      </c>
      <c r="F197" s="15" t="s">
        <v>546</v>
      </c>
      <c r="G197" s="15" t="s">
        <v>547</v>
      </c>
      <c r="H197" s="11" t="s">
        <v>72</v>
      </c>
      <c r="I197" s="11"/>
      <c r="J197" s="13"/>
    </row>
    <row r="198" ht="18" spans="1:10">
      <c r="A198" s="11" t="s">
        <v>54</v>
      </c>
      <c r="B198" s="12" t="s">
        <v>578</v>
      </c>
      <c r="C198" s="16" t="str">
        <f>VLOOKUP(Tabla2[[#This Row],[Ámbito]],Tabla14[[Ámbito]:[Código]],2,FALSE)&amp;"-"&amp;Tabla2[[#This Row],[Numeración]]</f>
        <v>REO-024</v>
      </c>
      <c r="D198" s="11" t="s">
        <v>635</v>
      </c>
      <c r="E198" s="14" t="s">
        <v>636</v>
      </c>
      <c r="F198" s="15" t="s">
        <v>637</v>
      </c>
      <c r="G198" s="15" t="s">
        <v>638</v>
      </c>
      <c r="H198" s="11" t="s">
        <v>72</v>
      </c>
      <c r="I198" s="11"/>
      <c r="J198" s="13"/>
    </row>
    <row r="199" ht="18" spans="1:10">
      <c r="A199" s="11" t="s">
        <v>54</v>
      </c>
      <c r="B199" s="12" t="s">
        <v>583</v>
      </c>
      <c r="C199" s="16" t="str">
        <f>VLOOKUP(Tabla2[[#This Row],[Ámbito]],Tabla14[[Ámbito]:[Código]],2,FALSE)&amp;"-"&amp;Tabla2[[#This Row],[Numeración]]</f>
        <v>REO-025</v>
      </c>
      <c r="D199" s="11" t="s">
        <v>799</v>
      </c>
      <c r="E199" s="14" t="s">
        <v>800</v>
      </c>
      <c r="F199" s="15" t="s">
        <v>801</v>
      </c>
      <c r="G199" s="15" t="s">
        <v>802</v>
      </c>
      <c r="H199" s="11" t="s">
        <v>72</v>
      </c>
      <c r="I199" s="11"/>
      <c r="J199" s="13"/>
    </row>
    <row r="200" ht="27" spans="1:10">
      <c r="A200" s="11" t="s">
        <v>54</v>
      </c>
      <c r="B200" s="12" t="s">
        <v>588</v>
      </c>
      <c r="C200" s="16" t="str">
        <f>VLOOKUP(Tabla2[[#This Row],[Ámbito]],Tabla14[[Ámbito]:[Código]],2,FALSE)&amp;"-"&amp;Tabla2[[#This Row],[Numeración]]</f>
        <v>REO-026</v>
      </c>
      <c r="D200" s="11" t="s">
        <v>607</v>
      </c>
      <c r="E200" s="14" t="s">
        <v>608</v>
      </c>
      <c r="F200" s="15" t="s">
        <v>609</v>
      </c>
      <c r="G200" s="15" t="s">
        <v>610</v>
      </c>
      <c r="H200" s="11" t="s">
        <v>72</v>
      </c>
      <c r="I200" s="11"/>
      <c r="J200" s="13"/>
    </row>
    <row r="201" ht="27" spans="1:10">
      <c r="A201" s="11" t="s">
        <v>54</v>
      </c>
      <c r="B201" s="12" t="s">
        <v>593</v>
      </c>
      <c r="C201" s="16" t="str">
        <f>VLOOKUP(Tabla2[[#This Row],[Ámbito]],Tabla14[[Ámbito]:[Código]],2,FALSE)&amp;"-"&amp;Tabla2[[#This Row],[Numeración]]</f>
        <v>REO-027</v>
      </c>
      <c r="D201" s="11" t="s">
        <v>803</v>
      </c>
      <c r="E201" s="14" t="s">
        <v>804</v>
      </c>
      <c r="F201" s="15" t="s">
        <v>805</v>
      </c>
      <c r="G201" s="15" t="s">
        <v>806</v>
      </c>
      <c r="H201" s="11" t="s">
        <v>72</v>
      </c>
      <c r="I201" s="11"/>
      <c r="J201" s="13"/>
    </row>
    <row r="202" ht="18" spans="1:10">
      <c r="A202" s="11" t="s">
        <v>54</v>
      </c>
      <c r="B202" s="12" t="s">
        <v>716</v>
      </c>
      <c r="C202" s="16" t="str">
        <f>VLOOKUP(Tabla2[[#This Row],[Ámbito]],Tabla14[[Ámbito]:[Código]],2,FALSE)&amp;"-"&amp;Tabla2[[#This Row],[Numeración]]</f>
        <v>REO-028</v>
      </c>
      <c r="D202" s="11" t="s">
        <v>807</v>
      </c>
      <c r="E202" s="14" t="s">
        <v>808</v>
      </c>
      <c r="F202" s="15" t="s">
        <v>809</v>
      </c>
      <c r="G202" s="15" t="s">
        <v>810</v>
      </c>
      <c r="H202" s="11" t="s">
        <v>72</v>
      </c>
      <c r="I202" s="11"/>
      <c r="J202" s="13"/>
    </row>
    <row r="203" ht="18" spans="1:10">
      <c r="A203" s="11" t="s">
        <v>54</v>
      </c>
      <c r="B203" s="12" t="s">
        <v>721</v>
      </c>
      <c r="C203" s="16" t="str">
        <f>VLOOKUP(Tabla2[[#This Row],[Ámbito]],Tabla14[[Ámbito]:[Código]],2,FALSE)&amp;"-"&amp;Tabla2[[#This Row],[Numeración]]</f>
        <v>REO-029</v>
      </c>
      <c r="D203" s="11" t="s">
        <v>564</v>
      </c>
      <c r="E203" s="14" t="s">
        <v>565</v>
      </c>
      <c r="F203" s="15" t="s">
        <v>566</v>
      </c>
      <c r="G203" s="15" t="s">
        <v>567</v>
      </c>
      <c r="H203" s="11" t="s">
        <v>72</v>
      </c>
      <c r="I203" s="11"/>
      <c r="J203" s="13"/>
    </row>
    <row r="204" ht="27" spans="1:10">
      <c r="A204" s="11" t="s">
        <v>19</v>
      </c>
      <c r="B204" s="12" t="s">
        <v>726</v>
      </c>
      <c r="C204" s="16" t="str">
        <f>VLOOKUP(Tabla2[[#This Row],[Ámbito]],Tabla14[[Ámbito]:[Código]],2,FALSE)&amp;"-"&amp;Tabla2[[#This Row],[Numeración]]</f>
        <v>DEV-030</v>
      </c>
      <c r="D204" s="11" t="s">
        <v>569</v>
      </c>
      <c r="E204" s="14" t="s">
        <v>570</v>
      </c>
      <c r="F204" s="15" t="s">
        <v>571</v>
      </c>
      <c r="G204" s="15" t="s">
        <v>572</v>
      </c>
      <c r="H204" s="11" t="s">
        <v>72</v>
      </c>
      <c r="I204" s="11"/>
      <c r="J204" s="13"/>
    </row>
    <row r="205" ht="36" spans="1:10">
      <c r="A205" s="11" t="s">
        <v>19</v>
      </c>
      <c r="B205" s="12" t="s">
        <v>731</v>
      </c>
      <c r="C205" s="16" t="str">
        <f>VLOOKUP(Tabla2[[#This Row],[Ámbito]],Tabla14[[Ámbito]:[Código]],2,FALSE)&amp;"-"&amp;Tabla2[[#This Row],[Numeración]]</f>
        <v>DEV-031</v>
      </c>
      <c r="D205" s="11" t="s">
        <v>574</v>
      </c>
      <c r="E205" s="14" t="s">
        <v>575</v>
      </c>
      <c r="F205" s="15" t="s">
        <v>576</v>
      </c>
      <c r="G205" s="15" t="s">
        <v>577</v>
      </c>
      <c r="H205" s="11" t="s">
        <v>72</v>
      </c>
      <c r="I205" s="11"/>
      <c r="J205" s="13"/>
    </row>
    <row r="206" ht="18" spans="1:10">
      <c r="A206" s="11" t="s">
        <v>19</v>
      </c>
      <c r="B206" s="12" t="s">
        <v>732</v>
      </c>
      <c r="C206" s="16" t="str">
        <f>VLOOKUP(Tabla2[[#This Row],[Ámbito]],Tabla14[[Ámbito]:[Código]],2,FALSE)&amp;"-"&amp;Tabla2[[#This Row],[Numeración]]</f>
        <v>DEV-032</v>
      </c>
      <c r="D206" s="11" t="s">
        <v>579</v>
      </c>
      <c r="E206" s="14" t="s">
        <v>580</v>
      </c>
      <c r="F206" s="15" t="s">
        <v>581</v>
      </c>
      <c r="G206" s="15" t="s">
        <v>582</v>
      </c>
      <c r="H206" s="11" t="s">
        <v>72</v>
      </c>
      <c r="I206" s="11"/>
      <c r="J206" s="13"/>
    </row>
    <row r="207" ht="18" spans="1:10">
      <c r="A207" s="11" t="s">
        <v>54</v>
      </c>
      <c r="B207" s="12" t="s">
        <v>733</v>
      </c>
      <c r="C207" s="16" t="str">
        <f>VLOOKUP(Tabla2[[#This Row],[Ámbito]],Tabla14[[Ámbito]:[Código]],2,FALSE)&amp;"-"&amp;Tabla2[[#This Row],[Numeración]]</f>
        <v>REO-033</v>
      </c>
      <c r="D207" s="11" t="s">
        <v>615</v>
      </c>
      <c r="E207" s="14" t="s">
        <v>616</v>
      </c>
      <c r="F207" s="15" t="s">
        <v>617</v>
      </c>
      <c r="G207" s="15" t="s">
        <v>618</v>
      </c>
      <c r="H207" s="11" t="s">
        <v>72</v>
      </c>
      <c r="I207" s="11"/>
      <c r="J207" s="13"/>
    </row>
    <row r="208" ht="18" spans="1:10">
      <c r="A208" s="11" t="s">
        <v>54</v>
      </c>
      <c r="B208" s="12" t="s">
        <v>811</v>
      </c>
      <c r="C208" s="16" t="str">
        <f>VLOOKUP(Tabla2[[#This Row],[Ámbito]],Tabla14[[Ámbito]:[Código]],2,FALSE)&amp;"-"&amp;Tabla2[[#This Row],[Numeración]]</f>
        <v>REO-034</v>
      </c>
      <c r="D208" s="11" t="s">
        <v>643</v>
      </c>
      <c r="E208" s="14" t="s">
        <v>644</v>
      </c>
      <c r="F208" s="15" t="s">
        <v>645</v>
      </c>
      <c r="G208" s="15" t="s">
        <v>646</v>
      </c>
      <c r="H208" s="11" t="s">
        <v>72</v>
      </c>
      <c r="I208" s="11"/>
      <c r="J208" s="13"/>
    </row>
    <row r="209" ht="27" spans="1:10">
      <c r="A209" s="11" t="s">
        <v>54</v>
      </c>
      <c r="B209" s="12" t="s">
        <v>812</v>
      </c>
      <c r="C209" s="16" t="str">
        <f>VLOOKUP(Tabla2[[#This Row],[Ámbito]],Tabla14[[Ámbito]:[Código]],2,FALSE)&amp;"-"&amp;Tabla2[[#This Row],[Numeración]]</f>
        <v>REO-035</v>
      </c>
      <c r="D209" s="11" t="s">
        <v>813</v>
      </c>
      <c r="E209" s="14" t="s">
        <v>814</v>
      </c>
      <c r="F209" s="15" t="s">
        <v>815</v>
      </c>
      <c r="G209" s="15" t="s">
        <v>816</v>
      </c>
      <c r="H209" s="11" t="s">
        <v>72</v>
      </c>
      <c r="I209" s="11"/>
      <c r="J209" s="13"/>
    </row>
    <row r="210" ht="18" spans="1:10">
      <c r="A210" s="11" t="s">
        <v>54</v>
      </c>
      <c r="B210" s="12" t="s">
        <v>817</v>
      </c>
      <c r="C210" s="16" t="str">
        <f>VLOOKUP(Tabla2[[#This Row],[Ámbito]],Tabla14[[Ámbito]:[Código]],2,FALSE)&amp;"-"&amp;Tabla2[[#This Row],[Numeración]]</f>
        <v>REO-036</v>
      </c>
      <c r="D210" s="11" t="s">
        <v>818</v>
      </c>
      <c r="E210" s="14" t="s">
        <v>819</v>
      </c>
      <c r="F210" s="15" t="s">
        <v>820</v>
      </c>
      <c r="G210" s="15" t="s">
        <v>821</v>
      </c>
      <c r="H210" s="11" t="s">
        <v>72</v>
      </c>
      <c r="I210" s="11"/>
      <c r="J210" s="13"/>
    </row>
    <row r="211" ht="27" spans="1:10">
      <c r="A211" s="11" t="s">
        <v>54</v>
      </c>
      <c r="B211" s="12" t="s">
        <v>822</v>
      </c>
      <c r="C211" s="16" t="str">
        <f>VLOOKUP(Tabla2[[#This Row],[Ámbito]],Tabla14[[Ámbito]:[Código]],2,FALSE)&amp;"-"&amp;Tabla2[[#This Row],[Numeración]]</f>
        <v>REO-037</v>
      </c>
      <c r="D211" s="11" t="s">
        <v>823</v>
      </c>
      <c r="E211" s="14" t="s">
        <v>824</v>
      </c>
      <c r="F211" s="15" t="s">
        <v>825</v>
      </c>
      <c r="G211" s="15" t="s">
        <v>826</v>
      </c>
      <c r="H211" s="11" t="s">
        <v>72</v>
      </c>
      <c r="I211" s="11"/>
      <c r="J211" s="13"/>
    </row>
    <row r="212" ht="18" spans="1:10">
      <c r="A212" s="11" t="s">
        <v>54</v>
      </c>
      <c r="B212" s="12" t="s">
        <v>827</v>
      </c>
      <c r="C212" s="16" t="str">
        <f>VLOOKUP(Tabla2[[#This Row],[Ámbito]],Tabla14[[Ámbito]:[Código]],2,FALSE)&amp;"-"&amp;Tabla2[[#This Row],[Numeración]]</f>
        <v>REO-038</v>
      </c>
      <c r="D212" s="11" t="s">
        <v>828</v>
      </c>
      <c r="E212" s="14" t="s">
        <v>829</v>
      </c>
      <c r="F212" s="15" t="s">
        <v>830</v>
      </c>
      <c r="G212" s="15" t="s">
        <v>831</v>
      </c>
      <c r="H212" s="11" t="s">
        <v>72</v>
      </c>
      <c r="I212" s="11"/>
      <c r="J212" s="13"/>
    </row>
    <row r="213" ht="18" spans="1:10">
      <c r="A213" s="11" t="s">
        <v>54</v>
      </c>
      <c r="B213" s="12" t="s">
        <v>832</v>
      </c>
      <c r="C213" s="16" t="str">
        <f>VLOOKUP(Tabla2[[#This Row],[Ámbito]],Tabla14[[Ámbito]:[Código]],2,FALSE)&amp;"-"&amp;Tabla2[[#This Row],[Numeración]]</f>
        <v>REO-039</v>
      </c>
      <c r="D213" s="11" t="s">
        <v>717</v>
      </c>
      <c r="E213" s="14" t="s">
        <v>718</v>
      </c>
      <c r="F213" s="15" t="s">
        <v>719</v>
      </c>
      <c r="G213" s="15" t="s">
        <v>720</v>
      </c>
      <c r="H213" s="11" t="s">
        <v>72</v>
      </c>
      <c r="I213" s="11"/>
      <c r="J213" s="13"/>
    </row>
    <row r="214" ht="18" spans="1:10">
      <c r="A214" s="11" t="s">
        <v>54</v>
      </c>
      <c r="B214" s="12" t="s">
        <v>833</v>
      </c>
      <c r="C214" s="16" t="str">
        <f>VLOOKUP(Tabla2[[#This Row],[Ámbito]],Tabla14[[Ámbito]:[Código]],2,FALSE)&amp;"-"&amp;Tabla2[[#This Row],[Numeración]]</f>
        <v>REO-040</v>
      </c>
      <c r="D214" s="11" t="s">
        <v>834</v>
      </c>
      <c r="E214" s="14" t="s">
        <v>835</v>
      </c>
      <c r="F214" s="15" t="s">
        <v>836</v>
      </c>
      <c r="G214" s="15" t="s">
        <v>837</v>
      </c>
      <c r="H214" s="11" t="s">
        <v>72</v>
      </c>
      <c r="I214" s="11"/>
      <c r="J214" s="13"/>
    </row>
    <row r="215" ht="18" spans="1:10">
      <c r="A215" s="11" t="s">
        <v>54</v>
      </c>
      <c r="B215" s="12" t="s">
        <v>838</v>
      </c>
      <c r="C215" s="16" t="str">
        <f>VLOOKUP(Tabla2[[#This Row],[Ámbito]],Tabla14[[Ámbito]:[Código]],2,FALSE)&amp;"-"&amp;Tabla2[[#This Row],[Numeración]]</f>
        <v>REO-041</v>
      </c>
      <c r="D215" s="11" t="s">
        <v>722</v>
      </c>
      <c r="E215" s="14" t="s">
        <v>723</v>
      </c>
      <c r="F215" s="15" t="s">
        <v>724</v>
      </c>
      <c r="G215" s="15" t="s">
        <v>725</v>
      </c>
      <c r="H215" s="11" t="s">
        <v>72</v>
      </c>
      <c r="I215" s="11"/>
      <c r="J215" s="13"/>
    </row>
    <row r="216" ht="27" spans="1:10">
      <c r="A216" s="11" t="s">
        <v>54</v>
      </c>
      <c r="B216" s="12" t="s">
        <v>839</v>
      </c>
      <c r="C216" s="16" t="str">
        <f>VLOOKUP(Tabla2[[#This Row],[Ámbito]],Tabla14[[Ámbito]:[Código]],2,FALSE)&amp;"-"&amp;Tabla2[[#This Row],[Numeración]]</f>
        <v>REO-042</v>
      </c>
      <c r="D216" s="11" t="s">
        <v>727</v>
      </c>
      <c r="E216" s="14" t="s">
        <v>728</v>
      </c>
      <c r="F216" s="15" t="s">
        <v>729</v>
      </c>
      <c r="G216" s="15" t="s">
        <v>730</v>
      </c>
      <c r="H216" s="11" t="s">
        <v>72</v>
      </c>
      <c r="I216" s="11"/>
      <c r="J216" s="13"/>
    </row>
    <row r="217" ht="18" spans="1:10">
      <c r="A217" s="11" t="s">
        <v>56</v>
      </c>
      <c r="B217" s="12" t="s">
        <v>840</v>
      </c>
      <c r="C217" s="16" t="str">
        <f>VLOOKUP(Tabla2[[#This Row],[Ámbito]],Tabla14[[Ámbito]:[Código]],2,FALSE)&amp;"-"&amp;Tabla2[[#This Row],[Numeración]]</f>
        <v>REI-043</v>
      </c>
      <c r="D217" s="11" t="s">
        <v>589</v>
      </c>
      <c r="E217" s="14" t="s">
        <v>590</v>
      </c>
      <c r="F217" s="15" t="s">
        <v>591</v>
      </c>
      <c r="G217" s="15" t="s">
        <v>592</v>
      </c>
      <c r="H217" s="11" t="s">
        <v>72</v>
      </c>
      <c r="I217" s="11"/>
      <c r="J217" s="13"/>
    </row>
    <row r="218" ht="18" spans="1:10">
      <c r="A218" s="11" t="s">
        <v>56</v>
      </c>
      <c r="B218" s="12" t="s">
        <v>841</v>
      </c>
      <c r="C218" s="16" t="str">
        <f>VLOOKUP(Tabla2[[#This Row],[Ámbito]],Tabla14[[Ámbito]:[Código]],2,FALSE)&amp;"-"&amp;Tabla2[[#This Row],[Numeración]]</f>
        <v>REI-044</v>
      </c>
      <c r="D218" s="11" t="s">
        <v>594</v>
      </c>
      <c r="E218" s="14" t="s">
        <v>590</v>
      </c>
      <c r="F218" s="15" t="s">
        <v>591</v>
      </c>
      <c r="G218" s="15" t="s">
        <v>592</v>
      </c>
      <c r="H218" s="11" t="s">
        <v>72</v>
      </c>
      <c r="I218" s="11"/>
      <c r="J218" s="13"/>
    </row>
    <row r="219" ht="18" spans="1:10">
      <c r="A219" s="11" t="s">
        <v>54</v>
      </c>
      <c r="B219" s="12" t="s">
        <v>842</v>
      </c>
      <c r="C219" s="16" t="str">
        <f>VLOOKUP(Tabla2[[#This Row],[Ámbito]],Tabla14[[Ámbito]:[Código]],2,FALSE)&amp;"-"&amp;Tabla2[[#This Row],[Numeración]]</f>
        <v>REO-045</v>
      </c>
      <c r="D219" s="11" t="s">
        <v>623</v>
      </c>
      <c r="E219" s="14" t="s">
        <v>624</v>
      </c>
      <c r="F219" s="15" t="s">
        <v>625</v>
      </c>
      <c r="G219" s="15" t="s">
        <v>626</v>
      </c>
      <c r="H219" s="11" t="s">
        <v>72</v>
      </c>
      <c r="I219" s="11"/>
      <c r="J219" s="13"/>
    </row>
    <row r="220" ht="18" spans="1:10">
      <c r="A220" s="11" t="s">
        <v>54</v>
      </c>
      <c r="B220" s="12" t="s">
        <v>843</v>
      </c>
      <c r="C220" s="16" t="str">
        <f>VLOOKUP(Tabla2[[#This Row],[Ámbito]],Tabla14[[Ámbito]:[Código]],2,FALSE)&amp;"-"&amp;Tabla2[[#This Row],[Numeración]]</f>
        <v>REO-046</v>
      </c>
      <c r="D220" s="11" t="s">
        <v>844</v>
      </c>
      <c r="E220" s="14" t="s">
        <v>845</v>
      </c>
      <c r="F220" s="15" t="s">
        <v>846</v>
      </c>
      <c r="G220" s="15" t="s">
        <v>847</v>
      </c>
      <c r="H220" s="11" t="s">
        <v>72</v>
      </c>
      <c r="I220" s="11"/>
      <c r="J220" s="13"/>
    </row>
    <row r="221" ht="18" spans="1:10">
      <c r="A221" s="11" t="s">
        <v>54</v>
      </c>
      <c r="B221" s="12" t="s">
        <v>848</v>
      </c>
      <c r="C221" s="16" t="s">
        <v>849</v>
      </c>
      <c r="D221" s="11" t="s">
        <v>850</v>
      </c>
      <c r="E221" s="14" t="s">
        <v>851</v>
      </c>
      <c r="F221" s="15" t="s">
        <v>852</v>
      </c>
      <c r="G221" s="15" t="s">
        <v>853</v>
      </c>
      <c r="H221" s="11" t="s">
        <v>72</v>
      </c>
      <c r="I221" s="11"/>
      <c r="J221" s="13"/>
    </row>
    <row r="222" ht="18" spans="1:10">
      <c r="A222" s="11" t="s">
        <v>62</v>
      </c>
      <c r="B222" s="12" t="s">
        <v>75</v>
      </c>
      <c r="C222" s="16" t="str">
        <f>VLOOKUP(Tabla2[[#This Row],[Ámbito]],Tabla14[[Ámbito]:[Código]],2,FALSE)&amp;"-"&amp;Tabla2[[#This Row],[Numeración]]</f>
        <v>PMB-001</v>
      </c>
      <c r="D222" s="11" t="s">
        <v>854</v>
      </c>
      <c r="E222" s="14" t="s">
        <v>855</v>
      </c>
      <c r="F222" s="15">
        <v>0</v>
      </c>
      <c r="G222" s="15"/>
      <c r="H222" s="11" t="s">
        <v>72</v>
      </c>
      <c r="I222" s="11"/>
      <c r="J222" s="13"/>
    </row>
    <row r="223" ht="18" spans="1:10">
      <c r="A223" s="11" t="s">
        <v>62</v>
      </c>
      <c r="B223" s="12" t="s">
        <v>80</v>
      </c>
      <c r="C223" s="16" t="str">
        <f>VLOOKUP(Tabla2[[#This Row],[Ámbito]],Tabla14[[Ámbito]:[Código]],2,FALSE)&amp;"-"&amp;Tabla2[[#This Row],[Numeración]]</f>
        <v>PMB-002</v>
      </c>
      <c r="D223" s="11" t="s">
        <v>856</v>
      </c>
      <c r="E223" s="14" t="s">
        <v>857</v>
      </c>
      <c r="F223" s="15">
        <v>0</v>
      </c>
      <c r="G223" s="15"/>
      <c r="H223" s="11" t="s">
        <v>72</v>
      </c>
      <c r="I223" s="11"/>
      <c r="J223" s="13"/>
    </row>
    <row r="224" ht="18" spans="1:10">
      <c r="A224" s="11" t="s">
        <v>62</v>
      </c>
      <c r="B224" s="12" t="s">
        <v>85</v>
      </c>
      <c r="C224" s="16" t="str">
        <f>VLOOKUP(Tabla2[[#This Row],[Ámbito]],Tabla14[[Ámbito]:[Código]],2,FALSE)&amp;"-"&amp;Tabla2[[#This Row],[Numeración]]</f>
        <v>PMB-003</v>
      </c>
      <c r="D224" s="11" t="s">
        <v>858</v>
      </c>
      <c r="E224" s="14" t="s">
        <v>859</v>
      </c>
      <c r="F224" s="15">
        <v>0</v>
      </c>
      <c r="G224" s="15"/>
      <c r="H224" s="11" t="s">
        <v>72</v>
      </c>
      <c r="I224" s="11"/>
      <c r="J224" s="13"/>
    </row>
    <row r="225" spans="1:10">
      <c r="A225" s="11" t="s">
        <v>62</v>
      </c>
      <c r="B225" s="12" t="s">
        <v>90</v>
      </c>
      <c r="C225" s="16" t="str">
        <f>VLOOKUP(Tabla2[[#This Row],[Ámbito]],Tabla14[[Ámbito]:[Código]],2,FALSE)&amp;"-"&amp;Tabla2[[#This Row],[Numeración]]</f>
        <v>PMB-004</v>
      </c>
      <c r="D225" s="11" t="s">
        <v>860</v>
      </c>
      <c r="E225" s="14" t="s">
        <v>861</v>
      </c>
      <c r="F225" s="15">
        <v>0</v>
      </c>
      <c r="G225" s="15">
        <v>100</v>
      </c>
      <c r="H225" s="11" t="s">
        <v>72</v>
      </c>
      <c r="I225" s="11"/>
      <c r="J225" s="13"/>
    </row>
    <row r="226" spans="1:10">
      <c r="A226" s="11" t="s">
        <v>62</v>
      </c>
      <c r="B226" s="12" t="s">
        <v>95</v>
      </c>
      <c r="C226" s="16" t="str">
        <f>VLOOKUP(Tabla2[[#This Row],[Ámbito]],Tabla14[[Ámbito]:[Código]],2,FALSE)&amp;"-"&amp;Tabla2[[#This Row],[Numeración]]</f>
        <v>PMB-005</v>
      </c>
      <c r="D226" s="11" t="s">
        <v>862</v>
      </c>
      <c r="E226" s="14" t="s">
        <v>863</v>
      </c>
      <c r="F226" s="15">
        <v>0</v>
      </c>
      <c r="G226" s="15">
        <v>100</v>
      </c>
      <c r="H226" s="11" t="s">
        <v>72</v>
      </c>
      <c r="I226" s="11"/>
      <c r="J226" s="13"/>
    </row>
    <row r="227" spans="1:10">
      <c r="A227" s="11" t="s">
        <v>62</v>
      </c>
      <c r="B227" s="12" t="s">
        <v>100</v>
      </c>
      <c r="C227" s="16" t="str">
        <f>VLOOKUP(Tabla2[[#This Row],[Ámbito]],Tabla14[[Ámbito]:[Código]],2,FALSE)&amp;"-"&amp;Tabla2[[#This Row],[Numeración]]</f>
        <v>PMB-006</v>
      </c>
      <c r="D227" s="11" t="s">
        <v>864</v>
      </c>
      <c r="E227" s="14" t="s">
        <v>865</v>
      </c>
      <c r="F227" s="15">
        <v>0</v>
      </c>
      <c r="G227" s="15">
        <v>100</v>
      </c>
      <c r="H227" s="11" t="s">
        <v>72</v>
      </c>
      <c r="I227" s="11"/>
      <c r="J227" s="13"/>
    </row>
    <row r="228" ht="27" spans="1:10">
      <c r="A228" s="11" t="s">
        <v>62</v>
      </c>
      <c r="B228" s="12" t="s">
        <v>105</v>
      </c>
      <c r="C228" s="16" t="str">
        <f>VLOOKUP(Tabla2[[#This Row],[Ámbito]],Tabla14[[Ámbito]:[Código]],2,FALSE)&amp;"-"&amp;Tabla2[[#This Row],[Numeración]]</f>
        <v>PMB-007</v>
      </c>
      <c r="D228" s="11" t="s">
        <v>866</v>
      </c>
      <c r="E228" s="14" t="s">
        <v>867</v>
      </c>
      <c r="F228" s="15">
        <v>0</v>
      </c>
      <c r="G228" s="15">
        <v>100</v>
      </c>
      <c r="H228" s="11" t="s">
        <v>72</v>
      </c>
      <c r="I228" s="11"/>
      <c r="J228" s="13"/>
    </row>
    <row r="229" ht="54" spans="1:10">
      <c r="A229" s="11" t="s">
        <v>62</v>
      </c>
      <c r="B229" s="12" t="s">
        <v>110</v>
      </c>
      <c r="C229" s="16" t="str">
        <f>VLOOKUP(Tabla2[[#This Row],[Ámbito]],Tabla14[[Ámbito]:[Código]],2,FALSE)&amp;"-"&amp;Tabla2[[#This Row],[Numeración]]</f>
        <v>PMB-008</v>
      </c>
      <c r="D229" s="11" t="s">
        <v>868</v>
      </c>
      <c r="E229" s="14" t="s">
        <v>869</v>
      </c>
      <c r="F229" s="15">
        <v>0</v>
      </c>
      <c r="G229" s="15">
        <v>100</v>
      </c>
      <c r="H229" s="11" t="s">
        <v>72</v>
      </c>
      <c r="I229" s="11"/>
      <c r="J229" s="13"/>
    </row>
    <row r="230" ht="18" spans="1:10">
      <c r="A230" s="11" t="s">
        <v>62</v>
      </c>
      <c r="B230" s="12" t="s">
        <v>115</v>
      </c>
      <c r="C230" s="16" t="str">
        <f>VLOOKUP(Tabla2[[#This Row],[Ámbito]],Tabla14[[Ámbito]:[Código]],2,FALSE)&amp;"-"&amp;Tabla2[[#This Row],[Numeración]]</f>
        <v>PMB-009</v>
      </c>
      <c r="D230" s="11" t="s">
        <v>870</v>
      </c>
      <c r="E230" s="14" t="s">
        <v>871</v>
      </c>
      <c r="F230" s="15">
        <v>0</v>
      </c>
      <c r="G230" s="15">
        <v>100</v>
      </c>
      <c r="H230" s="11" t="s">
        <v>72</v>
      </c>
      <c r="I230" s="11"/>
      <c r="J230" s="13"/>
    </row>
    <row r="231" ht="54" spans="1:10">
      <c r="A231" s="11" t="s">
        <v>62</v>
      </c>
      <c r="B231" s="12" t="s">
        <v>120</v>
      </c>
      <c r="C231" s="16" t="str">
        <f>VLOOKUP(Tabla2[[#This Row],[Ámbito]],Tabla14[[Ámbito]:[Código]],2,FALSE)&amp;"-"&amp;Tabla2[[#This Row],[Numeración]]</f>
        <v>PMB-010</v>
      </c>
      <c r="D231" s="11" t="s">
        <v>872</v>
      </c>
      <c r="E231" s="14" t="s">
        <v>873</v>
      </c>
      <c r="F231" s="15">
        <v>0</v>
      </c>
      <c r="G231" s="15" t="s">
        <v>874</v>
      </c>
      <c r="H231" s="11" t="s">
        <v>72</v>
      </c>
      <c r="I231" s="11"/>
      <c r="J231" s="13"/>
    </row>
    <row r="232" ht="18" spans="1:10">
      <c r="A232" s="11" t="s">
        <v>62</v>
      </c>
      <c r="B232" s="12" t="s">
        <v>125</v>
      </c>
      <c r="C232" s="16" t="str">
        <f>VLOOKUP(Tabla2[[#This Row],[Ámbito]],Tabla14[[Ámbito]:[Código]],2,FALSE)&amp;"-"&amp;Tabla2[[#This Row],[Numeración]]</f>
        <v>PMB-011</v>
      </c>
      <c r="D232" s="11" t="s">
        <v>875</v>
      </c>
      <c r="E232" s="14" t="s">
        <v>876</v>
      </c>
      <c r="F232" s="15">
        <v>0</v>
      </c>
      <c r="G232" s="15">
        <v>100</v>
      </c>
      <c r="H232" s="11" t="s">
        <v>72</v>
      </c>
      <c r="I232" s="11"/>
      <c r="J232" s="13"/>
    </row>
    <row r="233" ht="18" spans="1:10">
      <c r="A233" s="11" t="s">
        <v>62</v>
      </c>
      <c r="B233" s="12" t="s">
        <v>202</v>
      </c>
      <c r="C233" s="16" t="str">
        <f>VLOOKUP(Tabla2[[#This Row],[Ámbito]],Tabla14[[Ámbito]:[Código]],2,FALSE)&amp;"-"&amp;Tabla2[[#This Row],[Numeración]]</f>
        <v>PMB-012</v>
      </c>
      <c r="D233" s="11" t="s">
        <v>877</v>
      </c>
      <c r="E233" s="14" t="s">
        <v>878</v>
      </c>
      <c r="F233" s="15">
        <v>0</v>
      </c>
      <c r="G233" s="15">
        <v>100</v>
      </c>
      <c r="H233" s="11" t="s">
        <v>72</v>
      </c>
      <c r="I233" s="11"/>
      <c r="J233" s="13"/>
    </row>
    <row r="234" ht="27" spans="1:10">
      <c r="A234" s="11" t="s">
        <v>62</v>
      </c>
      <c r="B234" s="12" t="s">
        <v>207</v>
      </c>
      <c r="C234" s="16" t="str">
        <f>VLOOKUP(Tabla2[[#This Row],[Ámbito]],Tabla14[[Ámbito]:[Código]],2,FALSE)&amp;"-"&amp;Tabla2[[#This Row],[Numeración]]</f>
        <v>PMB-013</v>
      </c>
      <c r="D234" s="11" t="s">
        <v>879</v>
      </c>
      <c r="E234" s="14" t="s">
        <v>880</v>
      </c>
      <c r="F234" s="15"/>
      <c r="G234" s="15"/>
      <c r="H234" s="11" t="s">
        <v>72</v>
      </c>
      <c r="I234" s="11"/>
      <c r="J234" s="13"/>
    </row>
    <row r="235" ht="36" spans="1:10">
      <c r="A235" s="11" t="s">
        <v>62</v>
      </c>
      <c r="B235" s="12" t="s">
        <v>212</v>
      </c>
      <c r="C235" s="16" t="str">
        <f>VLOOKUP(Tabla2[[#This Row],[Ámbito]],Tabla14[[Ámbito]:[Código]],2,FALSE)&amp;"-"&amp;Tabla2[[#This Row],[Numeración]]</f>
        <v>PMB-014</v>
      </c>
      <c r="D235" s="11" t="s">
        <v>881</v>
      </c>
      <c r="E235" s="14" t="s">
        <v>882</v>
      </c>
      <c r="F235" s="15">
        <v>0</v>
      </c>
      <c r="G235" s="15">
        <v>100</v>
      </c>
      <c r="H235" s="11" t="s">
        <v>72</v>
      </c>
      <c r="I235" s="11"/>
      <c r="J235" s="13"/>
    </row>
    <row r="236" ht="18" spans="1:10">
      <c r="A236" s="11" t="s">
        <v>62</v>
      </c>
      <c r="B236" s="12" t="s">
        <v>217</v>
      </c>
      <c r="C236" s="16" t="str">
        <f>VLOOKUP(Tabla2[[#This Row],[Ámbito]],Tabla14[[Ámbito]:[Código]],2,FALSE)&amp;"-"&amp;Tabla2[[#This Row],[Numeración]]</f>
        <v>PMB-015</v>
      </c>
      <c r="D236" s="11" t="s">
        <v>883</v>
      </c>
      <c r="E236" s="14" t="s">
        <v>884</v>
      </c>
      <c r="F236" s="15">
        <v>0</v>
      </c>
      <c r="G236" s="15"/>
      <c r="H236" s="11" t="s">
        <v>72</v>
      </c>
      <c r="I236" s="11"/>
      <c r="J236" s="13"/>
    </row>
    <row r="237" ht="18" spans="1:10">
      <c r="A237" s="11" t="s">
        <v>62</v>
      </c>
      <c r="B237" s="12" t="s">
        <v>540</v>
      </c>
      <c r="C237" s="16" t="str">
        <f>VLOOKUP(Tabla2[[#This Row],[Ámbito]],Tabla14[[Ámbito]:[Código]],2,FALSE)&amp;"-"&amp;Tabla2[[#This Row],[Numeración]]</f>
        <v>PMB-016</v>
      </c>
      <c r="D237" s="11" t="s">
        <v>885</v>
      </c>
      <c r="E237" s="14" t="s">
        <v>886</v>
      </c>
      <c r="F237" s="15">
        <v>0</v>
      </c>
      <c r="G237" s="15"/>
      <c r="H237" s="11" t="s">
        <v>72</v>
      </c>
      <c r="I237" s="11"/>
      <c r="J237" s="13"/>
    </row>
    <row r="238" spans="1:10">
      <c r="A238" s="11" t="s">
        <v>62</v>
      </c>
      <c r="B238" s="12" t="s">
        <v>545</v>
      </c>
      <c r="C238" s="16" t="str">
        <f>VLOOKUP(Tabla2[[#This Row],[Ámbito]],Tabla14[[Ámbito]:[Código]],2,FALSE)&amp;"-"&amp;Tabla2[[#This Row],[Numeración]]</f>
        <v>PMB-017</v>
      </c>
      <c r="D238" s="11" t="s">
        <v>887</v>
      </c>
      <c r="E238" s="14" t="s">
        <v>888</v>
      </c>
      <c r="F238" s="15">
        <v>0</v>
      </c>
      <c r="G238" s="15"/>
      <c r="H238" s="11" t="s">
        <v>72</v>
      </c>
      <c r="I238" s="11"/>
      <c r="J238" s="13"/>
    </row>
    <row r="239" spans="1:10">
      <c r="A239" s="11" t="s">
        <v>62</v>
      </c>
      <c r="B239" s="12" t="s">
        <v>548</v>
      </c>
      <c r="C239" s="16" t="str">
        <f>VLOOKUP(Tabla2[[#This Row],[Ámbito]],Tabla14[[Ámbito]:[Código]],2,FALSE)&amp;"-"&amp;Tabla2[[#This Row],[Numeración]]</f>
        <v>PMB-018</v>
      </c>
      <c r="D239" s="11" t="s">
        <v>889</v>
      </c>
      <c r="E239" s="14" t="s">
        <v>890</v>
      </c>
      <c r="F239" s="15">
        <v>0</v>
      </c>
      <c r="G239" s="15"/>
      <c r="H239" s="11" t="s">
        <v>72</v>
      </c>
      <c r="I239" s="11"/>
      <c r="J239" s="13"/>
    </row>
    <row r="240" ht="18" spans="1:10">
      <c r="A240" s="11" t="s">
        <v>62</v>
      </c>
      <c r="B240" s="12" t="s">
        <v>553</v>
      </c>
      <c r="C240" s="16" t="str">
        <f>VLOOKUP(Tabla2[[#This Row],[Ámbito]],Tabla14[[Ámbito]:[Código]],2,FALSE)&amp;"-"&amp;Tabla2[[#This Row],[Numeración]]</f>
        <v>PMB-019</v>
      </c>
      <c r="D240" s="11" t="s">
        <v>891</v>
      </c>
      <c r="E240" s="14" t="s">
        <v>892</v>
      </c>
      <c r="F240" s="15">
        <v>0</v>
      </c>
      <c r="G240" s="15"/>
      <c r="H240" s="11" t="s">
        <v>72</v>
      </c>
      <c r="I240" s="11"/>
      <c r="J240" s="13"/>
    </row>
    <row r="241" ht="18" spans="1:10">
      <c r="A241" s="11" t="s">
        <v>62</v>
      </c>
      <c r="B241" s="12" t="s">
        <v>558</v>
      </c>
      <c r="C241" s="16" t="str">
        <f>VLOOKUP(Tabla2[[#This Row],[Ámbito]],Tabla14[[Ámbito]:[Código]],2,FALSE)&amp;"-"&amp;Tabla2[[#This Row],[Numeración]]</f>
        <v>PMB-020</v>
      </c>
      <c r="D241" s="11" t="s">
        <v>893</v>
      </c>
      <c r="E241" s="14" t="s">
        <v>894</v>
      </c>
      <c r="F241" s="15">
        <v>0</v>
      </c>
      <c r="G241" s="15"/>
      <c r="H241" s="11" t="s">
        <v>72</v>
      </c>
      <c r="I241" s="11"/>
      <c r="J241" s="13"/>
    </row>
    <row r="242" ht="54" spans="1:10">
      <c r="A242" s="11" t="s">
        <v>62</v>
      </c>
      <c r="B242" s="12" t="s">
        <v>563</v>
      </c>
      <c r="C242" s="16" t="str">
        <f>VLOOKUP(Tabla2[[#This Row],[Ámbito]],Tabla14[[Ámbito]:[Código]],2,FALSE)&amp;"-"&amp;Tabla2[[#This Row],[Numeración]]</f>
        <v>PMB-021</v>
      </c>
      <c r="D242" s="11" t="s">
        <v>895</v>
      </c>
      <c r="E242" s="14" t="s">
        <v>896</v>
      </c>
      <c r="F242" s="15">
        <v>0</v>
      </c>
      <c r="G242" s="15" t="s">
        <v>897</v>
      </c>
      <c r="H242" s="11" t="s">
        <v>72</v>
      </c>
      <c r="I242" s="11"/>
      <c r="J242" s="13"/>
    </row>
    <row r="243" ht="18" spans="1:10">
      <c r="A243" s="11" t="s">
        <v>62</v>
      </c>
      <c r="B243" s="12" t="s">
        <v>568</v>
      </c>
      <c r="C243" s="16" t="str">
        <f>VLOOKUP(Tabla2[[#This Row],[Ámbito]],Tabla14[[Ámbito]:[Código]],2,FALSE)&amp;"-"&amp;Tabla2[[#This Row],[Numeración]]</f>
        <v>PMB-022</v>
      </c>
      <c r="D243" s="11" t="s">
        <v>898</v>
      </c>
      <c r="E243" s="14" t="s">
        <v>899</v>
      </c>
      <c r="F243" s="15">
        <v>0</v>
      </c>
      <c r="G243" s="15"/>
      <c r="H243" s="11" t="s">
        <v>72</v>
      </c>
      <c r="I243" s="11"/>
      <c r="J243" s="13"/>
    </row>
    <row r="244" ht="18" spans="1:10">
      <c r="A244" s="11" t="s">
        <v>62</v>
      </c>
      <c r="B244" s="12" t="s">
        <v>573</v>
      </c>
      <c r="C244" s="16" t="str">
        <f>VLOOKUP(Tabla2[[#This Row],[Ámbito]],Tabla14[[Ámbito]:[Código]],2,FALSE)&amp;"-"&amp;Tabla2[[#This Row],[Numeración]]</f>
        <v>PMB-023</v>
      </c>
      <c r="D244" s="11" t="s">
        <v>900</v>
      </c>
      <c r="E244" s="14" t="s">
        <v>901</v>
      </c>
      <c r="F244" s="15">
        <v>0</v>
      </c>
      <c r="G244" s="15"/>
      <c r="H244" s="11" t="s">
        <v>72</v>
      </c>
      <c r="I244" s="11"/>
      <c r="J244" s="13"/>
    </row>
    <row r="245" ht="18" spans="1:10">
      <c r="A245" s="11" t="s">
        <v>62</v>
      </c>
      <c r="B245" s="12" t="s">
        <v>578</v>
      </c>
      <c r="C245" s="16" t="str">
        <f>VLOOKUP(Tabla2[[#This Row],[Ámbito]],Tabla14[[Ámbito]:[Código]],2,FALSE)&amp;"-"&amp;Tabla2[[#This Row],[Numeración]]</f>
        <v>PMB-024</v>
      </c>
      <c r="D245" s="11" t="s">
        <v>902</v>
      </c>
      <c r="E245" s="14" t="s">
        <v>903</v>
      </c>
      <c r="F245" s="15"/>
      <c r="G245" s="15"/>
      <c r="H245" s="11" t="s">
        <v>72</v>
      </c>
      <c r="I245" s="11"/>
      <c r="J245" s="13"/>
    </row>
    <row r="246" ht="18" spans="1:10">
      <c r="A246" s="11" t="s">
        <v>62</v>
      </c>
      <c r="B246" s="12" t="s">
        <v>583</v>
      </c>
      <c r="C246" s="16" t="str">
        <f>VLOOKUP(Tabla2[[#This Row],[Ámbito]],Tabla14[[Ámbito]:[Código]],2,FALSE)&amp;"-"&amp;Tabla2[[#This Row],[Numeración]]</f>
        <v>PMB-025</v>
      </c>
      <c r="D246" s="11" t="s">
        <v>904</v>
      </c>
      <c r="E246" s="14" t="s">
        <v>905</v>
      </c>
      <c r="F246" s="15">
        <v>0</v>
      </c>
      <c r="G246" s="15"/>
      <c r="H246" s="11" t="s">
        <v>72</v>
      </c>
      <c r="I246" s="11"/>
      <c r="J246" s="13"/>
    </row>
    <row r="247" spans="1:10">
      <c r="A247" s="11" t="s">
        <v>62</v>
      </c>
      <c r="B247" s="12" t="s">
        <v>588</v>
      </c>
      <c r="C247" s="16" t="str">
        <f>VLOOKUP(Tabla2[[#This Row],[Ámbito]],Tabla14[[Ámbito]:[Código]],2,FALSE)&amp;"-"&amp;Tabla2[[#This Row],[Numeración]]</f>
        <v>PMB-026</v>
      </c>
      <c r="D247" s="11" t="s">
        <v>906</v>
      </c>
      <c r="E247" s="14" t="s">
        <v>907</v>
      </c>
      <c r="F247" s="15">
        <v>0</v>
      </c>
      <c r="G247" s="15"/>
      <c r="H247" s="11" t="s">
        <v>72</v>
      </c>
      <c r="I247" s="11"/>
      <c r="J247" s="13"/>
    </row>
    <row r="248" spans="1:10">
      <c r="A248" s="11" t="s">
        <v>62</v>
      </c>
      <c r="B248" s="12" t="s">
        <v>593</v>
      </c>
      <c r="C248" s="16" t="str">
        <f>VLOOKUP(Tabla2[[#This Row],[Ámbito]],Tabla14[[Ámbito]:[Código]],2,FALSE)&amp;"-"&amp;Tabla2[[#This Row],[Numeración]]</f>
        <v>PMB-027</v>
      </c>
      <c r="D248" s="11" t="s">
        <v>908</v>
      </c>
      <c r="E248" s="14" t="s">
        <v>909</v>
      </c>
      <c r="F248" s="15">
        <v>0</v>
      </c>
      <c r="G248" s="15"/>
      <c r="H248" s="11" t="s">
        <v>72</v>
      </c>
      <c r="I248" s="11"/>
      <c r="J248" s="13"/>
    </row>
    <row r="249" spans="1:10">
      <c r="A249" s="11" t="s">
        <v>62</v>
      </c>
      <c r="B249" s="12" t="s">
        <v>716</v>
      </c>
      <c r="C249" s="16" t="str">
        <f>VLOOKUP(Tabla2[[#This Row],[Ámbito]],Tabla14[[Ámbito]:[Código]],2,FALSE)&amp;"-"&amp;Tabla2[[#This Row],[Numeración]]</f>
        <v>PMB-028</v>
      </c>
      <c r="D249" s="11" t="s">
        <v>910</v>
      </c>
      <c r="E249" s="14" t="s">
        <v>911</v>
      </c>
      <c r="F249" s="15">
        <v>0</v>
      </c>
      <c r="G249" s="15">
        <v>1</v>
      </c>
      <c r="H249" s="11" t="s">
        <v>72</v>
      </c>
      <c r="I249" s="11"/>
      <c r="J249" s="13"/>
    </row>
    <row r="250" spans="1:10">
      <c r="A250" s="11" t="s">
        <v>62</v>
      </c>
      <c r="B250" s="12" t="s">
        <v>721</v>
      </c>
      <c r="C250" s="16" t="str">
        <f>VLOOKUP(Tabla2[[#This Row],[Ámbito]],Tabla14[[Ámbito]:[Código]],2,FALSE)&amp;"-"&amp;Tabla2[[#This Row],[Numeración]]</f>
        <v>PMB-029</v>
      </c>
      <c r="D250" s="11" t="s">
        <v>912</v>
      </c>
      <c r="E250" s="14" t="s">
        <v>913</v>
      </c>
      <c r="F250" s="15">
        <v>0</v>
      </c>
      <c r="G250" s="15">
        <v>1</v>
      </c>
      <c r="H250" s="11" t="s">
        <v>72</v>
      </c>
      <c r="I250" s="11"/>
      <c r="J250" s="13"/>
    </row>
    <row r="251" spans="1:10">
      <c r="A251" s="11" t="s">
        <v>62</v>
      </c>
      <c r="B251" s="12" t="s">
        <v>726</v>
      </c>
      <c r="C251" s="16" t="str">
        <f>VLOOKUP(Tabla2[[#This Row],[Ámbito]],Tabla14[[Ámbito]:[Código]],2,FALSE)&amp;"-"&amp;Tabla2[[#This Row],[Numeración]]</f>
        <v>PMB-030</v>
      </c>
      <c r="D251" s="11" t="s">
        <v>914</v>
      </c>
      <c r="E251" s="14" t="s">
        <v>915</v>
      </c>
      <c r="F251" s="15">
        <v>0</v>
      </c>
      <c r="G251" s="15"/>
      <c r="H251" s="11" t="s">
        <v>72</v>
      </c>
      <c r="I251" s="11"/>
      <c r="J251" s="13"/>
    </row>
    <row r="252" ht="18" spans="1:10">
      <c r="A252" s="11" t="s">
        <v>62</v>
      </c>
      <c r="B252" s="12" t="s">
        <v>731</v>
      </c>
      <c r="C252" s="16" t="str">
        <f>VLOOKUP(Tabla2[[#This Row],[Ámbito]],Tabla14[[Ámbito]:[Código]],2,FALSE)&amp;"-"&amp;Tabla2[[#This Row],[Numeración]]</f>
        <v>PMB-031</v>
      </c>
      <c r="D252" s="11" t="s">
        <v>916</v>
      </c>
      <c r="E252" s="14" t="s">
        <v>917</v>
      </c>
      <c r="F252" s="15">
        <v>0</v>
      </c>
      <c r="G252" s="15"/>
      <c r="H252" s="11" t="s">
        <v>72</v>
      </c>
      <c r="I252" s="11"/>
      <c r="J252" s="13"/>
    </row>
    <row r="253" spans="1:10">
      <c r="A253" s="11" t="s">
        <v>64</v>
      </c>
      <c r="B253" s="12" t="s">
        <v>75</v>
      </c>
      <c r="C253" s="16" t="str">
        <f>VLOOKUP(Tabla2[[#This Row],[Ámbito]],Tabla14[[Ámbito]:[Código]],2,FALSE)&amp;"-"&amp;Tabla2[[#This Row],[Numeración]]</f>
        <v>ITIL-001</v>
      </c>
      <c r="D253" s="11" t="s">
        <v>918</v>
      </c>
      <c r="E253" s="14" t="s">
        <v>919</v>
      </c>
      <c r="F253" s="15">
        <v>0</v>
      </c>
      <c r="G253" s="15">
        <v>100</v>
      </c>
      <c r="H253" s="11" t="s">
        <v>72</v>
      </c>
      <c r="I253" s="11"/>
      <c r="J253" s="13"/>
    </row>
    <row r="254" spans="1:10">
      <c r="A254" s="11" t="s">
        <v>64</v>
      </c>
      <c r="B254" s="12" t="s">
        <v>80</v>
      </c>
      <c r="C254" s="16" t="str">
        <f>VLOOKUP(Tabla2[[#This Row],[Ámbito]],Tabla14[[Ámbito]:[Código]],2,FALSE)&amp;"-"&amp;Tabla2[[#This Row],[Numeración]]</f>
        <v>ITIL-002</v>
      </c>
      <c r="D254" s="11" t="s">
        <v>920</v>
      </c>
      <c r="E254" s="14" t="s">
        <v>921</v>
      </c>
      <c r="F254" s="15">
        <v>0</v>
      </c>
      <c r="G254" s="15"/>
      <c r="H254" s="11"/>
      <c r="I254" s="11"/>
      <c r="J254" s="13"/>
    </row>
    <row r="255" ht="18" spans="1:10">
      <c r="A255" s="11" t="s">
        <v>64</v>
      </c>
      <c r="B255" s="12" t="s">
        <v>85</v>
      </c>
      <c r="C255" s="16" t="str">
        <f>VLOOKUP(Tabla2[[#This Row],[Ámbito]],Tabla14[[Ámbito]:[Código]],2,FALSE)&amp;"-"&amp;Tabla2[[#This Row],[Numeración]]</f>
        <v>ITIL-003</v>
      </c>
      <c r="D255" s="11" t="s">
        <v>922</v>
      </c>
      <c r="E255" s="14" t="s">
        <v>923</v>
      </c>
      <c r="F255" s="15"/>
      <c r="G255" s="15"/>
      <c r="H255" s="11"/>
      <c r="I255" s="11"/>
      <c r="J255" s="13"/>
    </row>
    <row r="256" ht="45" spans="1:10">
      <c r="A256" s="11" t="s">
        <v>64</v>
      </c>
      <c r="B256" s="12" t="s">
        <v>90</v>
      </c>
      <c r="C256" s="16" t="str">
        <f>VLOOKUP(Tabla2[[#This Row],[Ámbito]],Tabla14[[Ámbito]:[Código]],2,FALSE)&amp;"-"&amp;Tabla2[[#This Row],[Numeración]]</f>
        <v>ITIL-004</v>
      </c>
      <c r="D256" s="11" t="s">
        <v>924</v>
      </c>
      <c r="E256" s="14" t="s">
        <v>925</v>
      </c>
      <c r="F256" s="15"/>
      <c r="G256" s="15"/>
      <c r="H256" s="11"/>
      <c r="I256" s="11"/>
      <c r="J256" s="13"/>
    </row>
    <row r="257" spans="1:10">
      <c r="A257" s="11" t="s">
        <v>64</v>
      </c>
      <c r="B257" s="12" t="s">
        <v>95</v>
      </c>
      <c r="C257" s="16" t="str">
        <f>VLOOKUP(Tabla2[[#This Row],[Ámbito]],Tabla14[[Ámbito]:[Código]],2,FALSE)&amp;"-"&amp;Tabla2[[#This Row],[Numeración]]</f>
        <v>ITIL-005</v>
      </c>
      <c r="D257" s="11" t="s">
        <v>926</v>
      </c>
      <c r="E257" s="14" t="s">
        <v>927</v>
      </c>
      <c r="F257" s="15"/>
      <c r="G257" s="15"/>
      <c r="H257" s="11"/>
      <c r="I257" s="11"/>
      <c r="J257" s="13"/>
    </row>
    <row r="258" spans="1:10">
      <c r="A258" s="11" t="s">
        <v>64</v>
      </c>
      <c r="B258" s="12" t="s">
        <v>100</v>
      </c>
      <c r="C258" s="16" t="str">
        <f>VLOOKUP(Tabla2[[#This Row],[Ámbito]],Tabla14[[Ámbito]:[Código]],2,FALSE)&amp;"-"&amp;Tabla2[[#This Row],[Numeración]]</f>
        <v>ITIL-006</v>
      </c>
      <c r="D258" s="11" t="s">
        <v>928</v>
      </c>
      <c r="E258" s="14" t="s">
        <v>929</v>
      </c>
      <c r="F258" s="15"/>
      <c r="G258" s="15"/>
      <c r="H258" s="11"/>
      <c r="I258" s="11"/>
      <c r="J258" s="13"/>
    </row>
    <row r="259" spans="1:10">
      <c r="A259" s="11" t="s">
        <v>64</v>
      </c>
      <c r="B259" s="12" t="s">
        <v>105</v>
      </c>
      <c r="C259" s="16" t="str">
        <f>VLOOKUP(Tabla2[[#This Row],[Ámbito]],Tabla14[[Ámbito]:[Código]],2,FALSE)&amp;"-"&amp;Tabla2[[#This Row],[Numeración]]</f>
        <v>ITIL-007</v>
      </c>
      <c r="D259" s="11" t="s">
        <v>930</v>
      </c>
      <c r="E259" s="14" t="s">
        <v>931</v>
      </c>
      <c r="F259" s="15"/>
      <c r="G259" s="15"/>
      <c r="H259" s="11"/>
      <c r="I259" s="11"/>
      <c r="J259" s="13"/>
    </row>
    <row r="260" spans="1:10">
      <c r="A260" s="11" t="s">
        <v>64</v>
      </c>
      <c r="B260" s="12" t="s">
        <v>110</v>
      </c>
      <c r="C260" s="16" t="str">
        <f>VLOOKUP(Tabla2[[#This Row],[Ámbito]],Tabla14[[Ámbito]:[Código]],2,FALSE)&amp;"-"&amp;Tabla2[[#This Row],[Numeración]]</f>
        <v>ITIL-008</v>
      </c>
      <c r="D260" s="11" t="s">
        <v>932</v>
      </c>
      <c r="E260" s="14" t="s">
        <v>933</v>
      </c>
      <c r="F260" s="15"/>
      <c r="G260" s="15"/>
      <c r="H260" s="11"/>
      <c r="I260" s="11"/>
      <c r="J260" s="13"/>
    </row>
    <row r="261" ht="18" spans="1:10">
      <c r="A261" s="11" t="s">
        <v>64</v>
      </c>
      <c r="B261" s="12" t="s">
        <v>115</v>
      </c>
      <c r="C261" s="16" t="str">
        <f>VLOOKUP(Tabla2[[#This Row],[Ámbito]],Tabla14[[Ámbito]:[Código]],2,FALSE)&amp;"-"&amp;Tabla2[[#This Row],[Numeración]]</f>
        <v>ITIL-009</v>
      </c>
      <c r="D261" s="11" t="s">
        <v>934</v>
      </c>
      <c r="E261" s="14" t="s">
        <v>935</v>
      </c>
      <c r="F261" s="15"/>
      <c r="G261" s="15"/>
      <c r="H261" s="11"/>
      <c r="I261" s="11"/>
      <c r="J261" s="13"/>
    </row>
    <row r="262" spans="1:10">
      <c r="A262" s="11" t="s">
        <v>64</v>
      </c>
      <c r="B262" s="12" t="s">
        <v>120</v>
      </c>
      <c r="C262" s="16" t="str">
        <f>VLOOKUP(Tabla2[[#This Row],[Ámbito]],Tabla14[[Ámbito]:[Código]],2,FALSE)&amp;"-"&amp;Tabla2[[#This Row],[Numeración]]</f>
        <v>ITIL-010</v>
      </c>
      <c r="D262" s="11" t="s">
        <v>936</v>
      </c>
      <c r="E262" s="14" t="s">
        <v>937</v>
      </c>
      <c r="F262" s="15"/>
      <c r="G262" s="15"/>
      <c r="H262" s="11"/>
      <c r="I262" s="11"/>
      <c r="J262" s="13"/>
    </row>
    <row r="263" ht="18" spans="1:10">
      <c r="A263" s="11" t="s">
        <v>64</v>
      </c>
      <c r="B263" s="12" t="s">
        <v>125</v>
      </c>
      <c r="C263" s="16" t="str">
        <f>VLOOKUP(Tabla2[[#This Row],[Ámbito]],Tabla14[[Ámbito]:[Código]],2,FALSE)&amp;"-"&amp;Tabla2[[#This Row],[Numeración]]</f>
        <v>ITIL-011</v>
      </c>
      <c r="D263" s="11" t="s">
        <v>938</v>
      </c>
      <c r="E263" s="14" t="s">
        <v>939</v>
      </c>
      <c r="F263" s="15"/>
      <c r="G263" s="15"/>
      <c r="H263" s="11"/>
      <c r="I263" s="11"/>
      <c r="J263" s="13"/>
    </row>
    <row r="264" ht="27" spans="1:10">
      <c r="A264" s="11" t="s">
        <v>64</v>
      </c>
      <c r="B264" s="12" t="s">
        <v>202</v>
      </c>
      <c r="C264" s="16" t="str">
        <f>VLOOKUP(Tabla2[[#This Row],[Ámbito]],Tabla14[[Ámbito]:[Código]],2,FALSE)&amp;"-"&amp;Tabla2[[#This Row],[Numeración]]</f>
        <v>ITIL-012</v>
      </c>
      <c r="D264" s="11" t="s">
        <v>940</v>
      </c>
      <c r="E264" s="14" t="s">
        <v>941</v>
      </c>
      <c r="F264" s="15"/>
      <c r="G264" s="15"/>
      <c r="H264" s="11"/>
      <c r="I264" s="11"/>
      <c r="J264" s="13"/>
    </row>
    <row r="265" ht="27" spans="1:10">
      <c r="A265" s="11" t="s">
        <v>64</v>
      </c>
      <c r="B265" s="12" t="s">
        <v>207</v>
      </c>
      <c r="C265" s="16" t="str">
        <f>VLOOKUP(Tabla2[[#This Row],[Ámbito]],Tabla14[[Ámbito]:[Código]],2,FALSE)&amp;"-"&amp;Tabla2[[#This Row],[Numeración]]</f>
        <v>ITIL-013</v>
      </c>
      <c r="D265" s="11" t="s">
        <v>942</v>
      </c>
      <c r="E265" s="14" t="s">
        <v>943</v>
      </c>
      <c r="F265" s="15"/>
      <c r="G265" s="15"/>
      <c r="H265" s="11"/>
      <c r="I265" s="11"/>
      <c r="J265" s="13"/>
    </row>
    <row r="266" ht="18" spans="1:10">
      <c r="A266" s="11" t="s">
        <v>64</v>
      </c>
      <c r="B266" s="12" t="s">
        <v>212</v>
      </c>
      <c r="C266" s="16" t="str">
        <f>VLOOKUP(Tabla2[[#This Row],[Ámbito]],Tabla14[[Ámbito]:[Código]],2,FALSE)&amp;"-"&amp;Tabla2[[#This Row],[Numeración]]</f>
        <v>ITIL-014</v>
      </c>
      <c r="D266" s="11" t="s">
        <v>944</v>
      </c>
      <c r="E266" s="14" t="s">
        <v>945</v>
      </c>
      <c r="F266" s="15"/>
      <c r="G266" s="15"/>
      <c r="H266" s="11"/>
      <c r="I266" s="11"/>
      <c r="J266" s="13"/>
    </row>
    <row r="267" ht="45" spans="1:10">
      <c r="A267" s="11" t="s">
        <v>64</v>
      </c>
      <c r="B267" s="12" t="s">
        <v>217</v>
      </c>
      <c r="C267" s="16" t="str">
        <f>VLOOKUP(Tabla2[[#This Row],[Ámbito]],Tabla14[[Ámbito]:[Código]],2,FALSE)&amp;"-"&amp;Tabla2[[#This Row],[Numeración]]</f>
        <v>ITIL-015</v>
      </c>
      <c r="D267" s="11" t="s">
        <v>946</v>
      </c>
      <c r="E267" s="14" t="s">
        <v>947</v>
      </c>
      <c r="F267" s="15"/>
      <c r="G267" s="15"/>
      <c r="H267" s="11"/>
      <c r="I267" s="11"/>
      <c r="J267" s="13"/>
    </row>
    <row r="268" ht="18" spans="1:10">
      <c r="A268" s="11" t="s">
        <v>64</v>
      </c>
      <c r="B268" s="12" t="s">
        <v>540</v>
      </c>
      <c r="C268" s="16" t="s">
        <v>948</v>
      </c>
      <c r="D268" s="11" t="s">
        <v>949</v>
      </c>
      <c r="E268" s="14" t="s">
        <v>950</v>
      </c>
      <c r="F268" s="15"/>
      <c r="G268" s="15"/>
      <c r="H268" s="11"/>
      <c r="I268" s="11"/>
      <c r="J268" s="13"/>
    </row>
    <row r="269" spans="1:10">
      <c r="A269" s="11" t="s">
        <v>64</v>
      </c>
      <c r="B269" s="12" t="s">
        <v>545</v>
      </c>
      <c r="C269" s="16" t="str">
        <f>VLOOKUP(Tabla2[[#This Row],[Ámbito]],Tabla14[[Ámbito]:[Código]],2,FALSE)&amp;"-"&amp;Tabla2[[#This Row],[Numeración]]</f>
        <v>ITIL-017</v>
      </c>
      <c r="D269" s="11" t="s">
        <v>951</v>
      </c>
      <c r="E269" s="14" t="s">
        <v>952</v>
      </c>
      <c r="F269" s="15"/>
      <c r="G269" s="15"/>
      <c r="H269" s="11"/>
      <c r="I269" s="11"/>
      <c r="J269" s="13"/>
    </row>
    <row r="270" ht="18" spans="1:10">
      <c r="A270" s="11" t="s">
        <v>64</v>
      </c>
      <c r="B270" s="12" t="s">
        <v>548</v>
      </c>
      <c r="C270" s="16" t="str">
        <f>VLOOKUP(Tabla2[[#This Row],[Ámbito]],Tabla14[[Ámbito]:[Código]],2,FALSE)&amp;"-"&amp;Tabla2[[#This Row],[Numeración]]</f>
        <v>ITIL-018</v>
      </c>
      <c r="D270" s="11" t="s">
        <v>953</v>
      </c>
      <c r="E270" s="14" t="s">
        <v>954</v>
      </c>
      <c r="F270" s="15"/>
      <c r="G270" s="15"/>
      <c r="H270" s="11"/>
      <c r="I270" s="11"/>
      <c r="J270" s="13"/>
    </row>
    <row r="271" spans="1:10">
      <c r="A271" s="11" t="s">
        <v>64</v>
      </c>
      <c r="B271" s="12" t="s">
        <v>553</v>
      </c>
      <c r="C271" s="16" t="str">
        <f>VLOOKUP(Tabla2[[#This Row],[Ámbito]],Tabla14[[Ámbito]:[Código]],2,FALSE)&amp;"-"&amp;Tabla2[[#This Row],[Numeración]]</f>
        <v>ITIL-019</v>
      </c>
      <c r="D271" s="11" t="s">
        <v>955</v>
      </c>
      <c r="E271" s="14" t="s">
        <v>956</v>
      </c>
      <c r="F271" s="15"/>
      <c r="G271" s="15"/>
      <c r="H271" s="11"/>
      <c r="I271" s="11"/>
      <c r="J271" s="13"/>
    </row>
    <row r="272" spans="1:10">
      <c r="A272" s="11" t="s">
        <v>64</v>
      </c>
      <c r="B272" s="12" t="s">
        <v>558</v>
      </c>
      <c r="C272" s="16" t="str">
        <f>VLOOKUP(Tabla2[[#This Row],[Ámbito]],Tabla14[[Ámbito]:[Código]],2,FALSE)&amp;"-"&amp;Tabla2[[#This Row],[Numeración]]</f>
        <v>ITIL-020</v>
      </c>
      <c r="D272" s="11" t="s">
        <v>957</v>
      </c>
      <c r="E272" s="14" t="s">
        <v>958</v>
      </c>
      <c r="F272" s="15"/>
      <c r="G272" s="15"/>
      <c r="H272" s="11"/>
      <c r="I272" s="11"/>
      <c r="J272" s="13"/>
    </row>
    <row r="273" spans="1:10">
      <c r="A273" s="11" t="s">
        <v>64</v>
      </c>
      <c r="B273" s="12" t="s">
        <v>563</v>
      </c>
      <c r="C273" s="16" t="str">
        <f>VLOOKUP(Tabla2[[#This Row],[Ámbito]],Tabla14[[Ámbito]:[Código]],2,FALSE)&amp;"-"&amp;Tabla2[[#This Row],[Numeración]]</f>
        <v>ITIL-021</v>
      </c>
      <c r="D273" s="11" t="s">
        <v>959</v>
      </c>
      <c r="E273" s="14" t="s">
        <v>960</v>
      </c>
      <c r="F273" s="15"/>
      <c r="G273" s="15"/>
      <c r="H273" s="11"/>
      <c r="I273" s="11"/>
      <c r="J273" s="13"/>
    </row>
    <row r="274" ht="36" spans="1:10">
      <c r="A274" s="11" t="s">
        <v>64</v>
      </c>
      <c r="B274" s="12" t="s">
        <v>568</v>
      </c>
      <c r="C274" s="16" t="str">
        <f>VLOOKUP(Tabla2[[#This Row],[Ámbito]],Tabla14[[Ámbito]:[Código]],2,FALSE)&amp;"-"&amp;Tabla2[[#This Row],[Numeración]]</f>
        <v>ITIL-022</v>
      </c>
      <c r="D274" s="11" t="s">
        <v>961</v>
      </c>
      <c r="E274" s="14" t="s">
        <v>962</v>
      </c>
      <c r="F274" s="15"/>
      <c r="G274" s="15"/>
      <c r="H274" s="11"/>
      <c r="I274" s="11"/>
      <c r="J274" s="13"/>
    </row>
    <row r="275" ht="18" spans="1:10">
      <c r="A275" s="11" t="s">
        <v>64</v>
      </c>
      <c r="B275" s="12" t="s">
        <v>573</v>
      </c>
      <c r="C275" s="16" t="str">
        <f>VLOOKUP(Tabla2[[#This Row],[Ámbito]],Tabla14[[Ámbito]:[Código]],2,FALSE)&amp;"-"&amp;Tabla2[[#This Row],[Numeración]]</f>
        <v>ITIL-023</v>
      </c>
      <c r="D275" s="11" t="s">
        <v>963</v>
      </c>
      <c r="E275" s="14" t="s">
        <v>964</v>
      </c>
      <c r="F275" s="15"/>
      <c r="G275" s="15"/>
      <c r="H275" s="11"/>
      <c r="I275" s="11"/>
      <c r="J275" s="13"/>
    </row>
    <row r="276" ht="27" spans="1:10">
      <c r="A276" s="11" t="s">
        <v>64</v>
      </c>
      <c r="B276" s="12" t="s">
        <v>578</v>
      </c>
      <c r="C276" s="16" t="str">
        <f>VLOOKUP(Tabla2[[#This Row],[Ámbito]],Tabla14[[Ámbito]:[Código]],2,FALSE)&amp;"-"&amp;Tabla2[[#This Row],[Numeración]]</f>
        <v>ITIL-024</v>
      </c>
      <c r="D276" s="11" t="s">
        <v>965</v>
      </c>
      <c r="E276" s="14" t="s">
        <v>966</v>
      </c>
      <c r="F276" s="15"/>
      <c r="G276" s="15"/>
      <c r="H276" s="11"/>
      <c r="I276" s="11"/>
      <c r="J276" s="13"/>
    </row>
    <row r="277" spans="1:10">
      <c r="A277" s="11" t="s">
        <v>64</v>
      </c>
      <c r="B277" s="12" t="s">
        <v>583</v>
      </c>
      <c r="C277" s="16" t="str">
        <f>VLOOKUP(Tabla2[[#This Row],[Ámbito]],Tabla14[[Ámbito]:[Código]],2,FALSE)&amp;"-"&amp;Tabla2[[#This Row],[Numeración]]</f>
        <v>ITIL-025</v>
      </c>
      <c r="D277" s="11" t="s">
        <v>967</v>
      </c>
      <c r="E277" s="14" t="s">
        <v>968</v>
      </c>
      <c r="F277" s="15"/>
      <c r="G277" s="15"/>
      <c r="H277" s="11"/>
      <c r="I277" s="11"/>
      <c r="J277" s="13"/>
    </row>
    <row r="278" spans="1:10">
      <c r="A278" s="11" t="s">
        <v>64</v>
      </c>
      <c r="B278" s="12" t="s">
        <v>588</v>
      </c>
      <c r="C278" s="16" t="str">
        <f>VLOOKUP(Tabla2[[#This Row],[Ámbito]],Tabla14[[Ámbito]:[Código]],2,FALSE)&amp;"-"&amp;Tabla2[[#This Row],[Numeración]]</f>
        <v>ITIL-026</v>
      </c>
      <c r="D278" s="11" t="s">
        <v>969</v>
      </c>
      <c r="E278" s="14" t="s">
        <v>970</v>
      </c>
      <c r="F278" s="15"/>
      <c r="G278" s="15"/>
      <c r="H278" s="11"/>
      <c r="I278" s="11"/>
      <c r="J278" s="13"/>
    </row>
    <row r="279" spans="1:10">
      <c r="A279" s="11" t="s">
        <v>64</v>
      </c>
      <c r="B279" s="12" t="s">
        <v>593</v>
      </c>
      <c r="C279" s="16" t="str">
        <f>VLOOKUP(Tabla2[[#This Row],[Ámbito]],Tabla14[[Ámbito]:[Código]],2,FALSE)&amp;"-"&amp;Tabla2[[#This Row],[Numeración]]</f>
        <v>ITIL-027</v>
      </c>
      <c r="D279" s="11" t="s">
        <v>971</v>
      </c>
      <c r="E279" s="14" t="s">
        <v>972</v>
      </c>
      <c r="F279" s="15"/>
      <c r="G279" s="15"/>
      <c r="H279" s="11"/>
      <c r="I279" s="11"/>
      <c r="J279" s="13"/>
    </row>
    <row r="280" spans="1:10">
      <c r="A280" s="11" t="s">
        <v>64</v>
      </c>
      <c r="B280" s="12" t="s">
        <v>716</v>
      </c>
      <c r="C280" s="16" t="str">
        <f>VLOOKUP(Tabla2[[#This Row],[Ámbito]],Tabla14[[Ámbito]:[Código]],2,FALSE)&amp;"-"&amp;Tabla2[[#This Row],[Numeración]]</f>
        <v>ITIL-028</v>
      </c>
      <c r="D280" s="11" t="s">
        <v>973</v>
      </c>
      <c r="E280" s="14" t="s">
        <v>974</v>
      </c>
      <c r="F280" s="15"/>
      <c r="G280" s="15"/>
      <c r="H280" s="11"/>
      <c r="I280" s="11"/>
      <c r="J280" s="13"/>
    </row>
    <row r="281" spans="1:10">
      <c r="A281" s="11" t="s">
        <v>64</v>
      </c>
      <c r="B281" s="12" t="s">
        <v>721</v>
      </c>
      <c r="C281" s="16" t="str">
        <f>VLOOKUP(Tabla2[[#This Row],[Ámbito]],Tabla14[[Ámbito]:[Código]],2,FALSE)&amp;"-"&amp;Tabla2[[#This Row],[Numeración]]</f>
        <v>ITIL-029</v>
      </c>
      <c r="D281" s="11" t="s">
        <v>975</v>
      </c>
      <c r="E281" s="14" t="s">
        <v>976</v>
      </c>
      <c r="F281" s="15"/>
      <c r="G281" s="15"/>
      <c r="H281" s="11"/>
      <c r="I281" s="11"/>
      <c r="J281" s="13"/>
    </row>
    <row r="282" spans="1:10">
      <c r="A282" s="11" t="s">
        <v>64</v>
      </c>
      <c r="B282" s="12" t="s">
        <v>726</v>
      </c>
      <c r="C282" s="16" t="str">
        <f>VLOOKUP(Tabla2[[#This Row],[Ámbito]],Tabla14[[Ámbito]:[Código]],2,FALSE)&amp;"-"&amp;Tabla2[[#This Row],[Numeración]]</f>
        <v>ITIL-030</v>
      </c>
      <c r="D282" s="11" t="s">
        <v>977</v>
      </c>
      <c r="E282" s="14" t="s">
        <v>978</v>
      </c>
      <c r="F282" s="15"/>
      <c r="G282" s="15"/>
      <c r="H282" s="11"/>
      <c r="I282" s="11"/>
      <c r="J282" s="13"/>
    </row>
    <row r="283" spans="1:10">
      <c r="A283" s="11" t="s">
        <v>64</v>
      </c>
      <c r="B283" s="12" t="s">
        <v>731</v>
      </c>
      <c r="C283" s="16" t="str">
        <f>VLOOKUP(Tabla2[[#This Row],[Ámbito]],Tabla14[[Ámbito]:[Código]],2,FALSE)&amp;"-"&amp;Tabla2[[#This Row],[Numeración]]</f>
        <v>ITIL-031</v>
      </c>
      <c r="D283" s="11" t="s">
        <v>979</v>
      </c>
      <c r="E283" s="14" t="s">
        <v>980</v>
      </c>
      <c r="F283" s="15"/>
      <c r="G283" s="15"/>
      <c r="H283" s="11"/>
      <c r="I283" s="11"/>
      <c r="J283" s="13"/>
    </row>
  </sheetData>
  <conditionalFormatting sqref="D3:D283">
    <cfRule type="duplicateValues" dxfId="3" priority="2"/>
  </conditionalFormatting>
  <dataValidations count="2">
    <dataValidation type="list" allowBlank="1" showInputMessage="1" showErrorMessage="1" sqref="A3:A283">
      <formula1>Ámbitos</formula1>
    </dataValidation>
    <dataValidation type="list" allowBlank="1" showInputMessage="1" showErrorMessage="1" sqref="J3:J1048576">
      <formula1>Aux!$A$1:$A$2</formula1>
    </dataValidation>
  </dataValidations>
  <pageMargins left="0.699305555555556" right="0.699305555555556" top="0.75" bottom="0.75" header="0.3" footer="0.3"/>
  <pageSetup paperSize="9" orientation="portrait" horizontalDpi="300" verticalDpi="300"/>
  <headerFooter/>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Hoja2"/>
  <dimension ref="A2"/>
  <sheetViews>
    <sheetView workbookViewId="0">
      <selection activeCell="A1" sqref="A1"/>
    </sheetView>
  </sheetViews>
  <sheetFormatPr defaultColWidth="11" defaultRowHeight="15" outlineLevelRow="1"/>
  <sheetData>
    <row r="2" spans="1:1">
      <c r="A2" t="s">
        <v>134</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Company>Indra Sistemas SA</Company>
  <Application>Microsoft Excel</Application>
  <HeadingPairs>
    <vt:vector size="2" baseType="variant">
      <vt:variant>
        <vt:lpstr>工作表</vt:lpstr>
      </vt:variant>
      <vt:variant>
        <vt:i4>3</vt:i4>
      </vt:variant>
    </vt:vector>
  </HeadingPairs>
  <TitlesOfParts>
    <vt:vector size="3" baseType="lpstr">
      <vt:lpstr>Ámbitos</vt:lpstr>
      <vt:lpstr>Lista variables</vt:lpstr>
      <vt:lpstr>Aux</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Gamas González, Javier</dc:creator>
  <cp:lastModifiedBy>matorrest</cp:lastModifiedBy>
  <dcterms:created xsi:type="dcterms:W3CDTF">2019-02-20T08:43:00Z</dcterms:created>
  <dcterms:modified xsi:type="dcterms:W3CDTF">2019-05-24T08:13:52Z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1033-11.2.0.8339</vt:lpwstr>
  </property>
</Properties>
</file>